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Yaryna\University_3\Semester_1\Data_Analysis\Lab3\"/>
    </mc:Choice>
  </mc:AlternateContent>
  <xr:revisionPtr revIDLastSave="0" documentId="13_ncr:1_{C9DEDBC8-1711-4BAE-B18E-0F8758A093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2" l="1"/>
  <c r="C14" i="2"/>
  <c r="C12" i="2"/>
  <c r="C11" i="2"/>
  <c r="C10" i="2"/>
  <c r="C2" i="2"/>
  <c r="C1" i="2"/>
</calcChain>
</file>

<file path=xl/sharedStrings.xml><?xml version="1.0" encoding="utf-8"?>
<sst xmlns="http://schemas.openxmlformats.org/spreadsheetml/2006/main" count="1683" uniqueCount="783">
  <si>
    <t>помер/жив</t>
  </si>
  <si>
    <t>номер і/х</t>
  </si>
  <si>
    <t>ПІП</t>
  </si>
  <si>
    <t>Вік</t>
  </si>
  <si>
    <t>Стать</t>
  </si>
  <si>
    <t>Телефон</t>
  </si>
  <si>
    <t>Діагноз</t>
  </si>
  <si>
    <t>Перебіг</t>
  </si>
  <si>
    <t>ЛН</t>
  </si>
  <si>
    <t>Ускладнення</t>
  </si>
  <si>
    <t>Супутній</t>
  </si>
  <si>
    <t>КТ</t>
  </si>
  <si>
    <t>ступінь КТ</t>
  </si>
  <si>
    <t>КТ опис</t>
  </si>
  <si>
    <t>spO2 без дот</t>
  </si>
  <si>
    <t>spO2 з дот</t>
  </si>
  <si>
    <t>spO2 випис</t>
  </si>
  <si>
    <t>Днів до поступ</t>
  </si>
  <si>
    <t>Поступлення</t>
  </si>
  <si>
    <t>Виписка</t>
  </si>
  <si>
    <t>Ліжко днів</t>
  </si>
  <si>
    <t>Дата розтину</t>
  </si>
  <si>
    <t>Т вище38</t>
  </si>
  <si>
    <t>Т вище 37,5</t>
  </si>
  <si>
    <t>Т 37-37,5</t>
  </si>
  <si>
    <t>АТ пост</t>
  </si>
  <si>
    <t>АТ стац</t>
  </si>
  <si>
    <t>Дотація</t>
  </si>
  <si>
    <t>УЗД</t>
  </si>
  <si>
    <t>Гемогл1</t>
  </si>
  <si>
    <t>Гемогл2</t>
  </si>
  <si>
    <t>Л1</t>
  </si>
  <si>
    <t>Л2</t>
  </si>
  <si>
    <t>П/Я 1</t>
  </si>
  <si>
    <t>П/Я2</t>
  </si>
  <si>
    <t>С/Я1</t>
  </si>
  <si>
    <t>С/Я2</t>
  </si>
  <si>
    <t>Лім1</t>
  </si>
  <si>
    <t>Лім2</t>
  </si>
  <si>
    <t>ШОЕ1</t>
  </si>
  <si>
    <t>ШОЕ2</t>
  </si>
  <si>
    <t>СРБ1</t>
  </si>
  <si>
    <t>СРБ2</t>
  </si>
  <si>
    <t>ІЛ6-1</t>
  </si>
  <si>
    <t>ІЛ6-2</t>
  </si>
  <si>
    <t>ФЕРИТ1</t>
  </si>
  <si>
    <t>Д-дим1</t>
  </si>
  <si>
    <t>Д-дим2</t>
  </si>
  <si>
    <t>ФЕРИТ2</t>
  </si>
  <si>
    <t>Прокальцитонін</t>
  </si>
  <si>
    <t>Гематокрит1</t>
  </si>
  <si>
    <t>Гематокрит2</t>
  </si>
  <si>
    <t>Прот час1</t>
  </si>
  <si>
    <t>Прот час2</t>
  </si>
  <si>
    <t>Фібрин1</t>
  </si>
  <si>
    <t>Фібрин2</t>
  </si>
  <si>
    <t>МНВ1</t>
  </si>
  <si>
    <t>МНВ2</t>
  </si>
  <si>
    <t>Білок1</t>
  </si>
  <si>
    <t>Білок2</t>
  </si>
  <si>
    <t>Сечов1</t>
  </si>
  <si>
    <t>Сечов2</t>
  </si>
  <si>
    <t>Креат1</t>
  </si>
  <si>
    <t>Креат2</t>
  </si>
  <si>
    <t>БР заг1</t>
  </si>
  <si>
    <t>БРзаг2</t>
  </si>
  <si>
    <t>БРпр1</t>
  </si>
  <si>
    <t>БРпр2</t>
  </si>
  <si>
    <t>БРнепр1</t>
  </si>
  <si>
    <t>БРнепр2</t>
  </si>
  <si>
    <t>АЛАТ1</t>
  </si>
  <si>
    <t>АЛАТ2</t>
  </si>
  <si>
    <t>АСАТ1</t>
  </si>
  <si>
    <t>АСАТ2</t>
  </si>
  <si>
    <t>Цукор1</t>
  </si>
  <si>
    <t>Цукор2</t>
  </si>
  <si>
    <t>Примітка</t>
  </si>
  <si>
    <t>2377/239</t>
  </si>
  <si>
    <t>Федорюк Петро Юрійович</t>
  </si>
  <si>
    <t>ч</t>
  </si>
  <si>
    <t>0958469788 дружина Ганна</t>
  </si>
  <si>
    <t xml:space="preserve">Негос дв полісегм пнев 4 кл гр </t>
  </si>
  <si>
    <t>важкий</t>
  </si>
  <si>
    <t>ІІІ-IV</t>
  </si>
  <si>
    <t>тромбоз підколінної артерії, гангрена? ТЕЛА? СЛН ГРДС</t>
  </si>
  <si>
    <t>ІХС, КС, СН1, НВ ФК2</t>
  </si>
  <si>
    <t>20-30%</t>
  </si>
  <si>
    <t>сердній</t>
  </si>
  <si>
    <t>CO-Rads5</t>
  </si>
  <si>
    <t>4 дні до госп</t>
  </si>
  <si>
    <t>140/100</t>
  </si>
  <si>
    <t>150/100</t>
  </si>
  <si>
    <t>14 днів</t>
  </si>
  <si>
    <t>помірні інтерст зміни, бльше в базально-латер і передн правих відділах</t>
  </si>
  <si>
    <t>1121/19</t>
  </si>
  <si>
    <t>Загул Григорій Сергійович</t>
  </si>
  <si>
    <t>0671778486, 0994887663 дружина Оксана</t>
  </si>
  <si>
    <t>Негосп полісег пневм 4 кл гр</t>
  </si>
  <si>
    <t>ІІ-ІІІ</t>
  </si>
  <si>
    <t>ЦД, ІІ тип</t>
  </si>
  <si>
    <t>30-35%</t>
  </si>
  <si>
    <t>середній</t>
  </si>
  <si>
    <t>CO-Rads6</t>
  </si>
  <si>
    <t>5 до гос</t>
  </si>
  <si>
    <t>130/80</t>
  </si>
  <si>
    <t>12 днів</t>
  </si>
  <si>
    <t>розповсю консолідації в баз сегментах</t>
  </si>
  <si>
    <t>отримував актемра, часті носові кровотечі, втрата нюху</t>
  </si>
  <si>
    <t>283/674</t>
  </si>
  <si>
    <t>Бондара Лариса Павлівна</t>
  </si>
  <si>
    <t>ж</t>
  </si>
  <si>
    <t>0958768045, чоловік Степан 0951784726</t>
  </si>
  <si>
    <t>Негос полісегм пнев 4 кл гр</t>
  </si>
  <si>
    <t>ІІ</t>
  </si>
  <si>
    <t>ІХС. КС, ГХІІ, ГЛШ СНІІа, порушення толерантності до глюкози</t>
  </si>
  <si>
    <t>70-80%</t>
  </si>
  <si>
    <t>критичний</t>
  </si>
  <si>
    <t>КТ-4, CO-Rads6</t>
  </si>
  <si>
    <t>10 до гос</t>
  </si>
  <si>
    <t>140/90</t>
  </si>
  <si>
    <t>компенсаторна емфізема</t>
  </si>
  <si>
    <t>часта втрата свідомосі в стаціонарі</t>
  </si>
  <si>
    <t>2372/513</t>
  </si>
  <si>
    <t>Ватаманюка Уляна Дмитрівна</t>
  </si>
  <si>
    <t>0959819331. дочка Валентина 0960845205</t>
  </si>
  <si>
    <t xml:space="preserve">ЦД, ІІ тип, ІХС, Диф кардіоск, стенокар напруги, синусова тахік, ГХІІ, СНІІв </t>
  </si>
  <si>
    <t>9 до гос</t>
  </si>
  <si>
    <t>170/110</t>
  </si>
  <si>
    <t>16 днів</t>
  </si>
  <si>
    <t>Rо ОГК-процес вираженогоо фіброзоутворення, ознаки емфіземи справа</t>
  </si>
  <si>
    <t>панкреонекроз</t>
  </si>
  <si>
    <t>1441/671</t>
  </si>
  <si>
    <t>Бабійа Лариса Олегівна</t>
  </si>
  <si>
    <t>0952294866, дочка Дарина 0678360161</t>
  </si>
  <si>
    <t>ІХС ДК ГХІІ-ІІІ СНІІа ГЛШст3</t>
  </si>
  <si>
    <t>160/100</t>
  </si>
  <si>
    <t>130/90</t>
  </si>
  <si>
    <t>помірні інтерст зміни з множ кортикал консолідаціями</t>
  </si>
  <si>
    <t>2573/354</t>
  </si>
  <si>
    <t>Ковалика ганна Андріївна</t>
  </si>
  <si>
    <t>0959922983 сестра Софія</t>
  </si>
  <si>
    <t>Респірат дестрес синдром, емфізема легень, СЛН</t>
  </si>
  <si>
    <t>ІХС ДК ГХІІ ГЛШ СНІІ ФК2, ЦД ІІ</t>
  </si>
  <si>
    <t>30-40%</t>
  </si>
  <si>
    <t>КТ-2, СО-Rads6</t>
  </si>
  <si>
    <t xml:space="preserve">8(4дні лікув в Садгорі) </t>
  </si>
  <si>
    <t>9(5 у реан)</t>
  </si>
  <si>
    <t>170/100</t>
  </si>
  <si>
    <t>субплевральні консолідації двобічно</t>
  </si>
  <si>
    <t>OK</t>
  </si>
  <si>
    <t>1762/555</t>
  </si>
  <si>
    <t>Височан Віктор Володимирович</t>
  </si>
  <si>
    <t>0998073702, дружина Наталія 0998382226</t>
  </si>
  <si>
    <t>ІХС ДК ГХ ІІа ФК3, ЦД вперше виявлений</t>
  </si>
  <si>
    <t>60-65%</t>
  </si>
  <si>
    <t>КТ-3, СО-Rads5</t>
  </si>
  <si>
    <t>7 дні до госп</t>
  </si>
  <si>
    <t>помірні інтер зміни,більше у верхій долі правої легені</t>
  </si>
  <si>
    <t>глюкозурія, кетонові тіла в сечі, ЦД, фібриляція передс</t>
  </si>
  <si>
    <t>2664/348</t>
  </si>
  <si>
    <t>Дзюбаа Ірина Іванівна</t>
  </si>
  <si>
    <t>0637258771, син Сергій 0968413301</t>
  </si>
  <si>
    <t xml:space="preserve">Негос дв полісегм пнев 3 кл гр </t>
  </si>
  <si>
    <t>серед важ</t>
  </si>
  <si>
    <t>І</t>
  </si>
  <si>
    <t>ІХС ДК ГХІІ ГЛШ СНІІа ФК3, полімедик алергія,ерозивий г/дуоденіт</t>
  </si>
  <si>
    <t>до 17%</t>
  </si>
  <si>
    <t>легкий</t>
  </si>
  <si>
    <t>КТ-1, СО-Rads5</t>
  </si>
  <si>
    <t>9 днів до госп</t>
  </si>
  <si>
    <t>140/80</t>
  </si>
  <si>
    <t>120/80</t>
  </si>
  <si>
    <t>незначні інтерст зміни в базальних правих сегментах, ст.розрішення</t>
  </si>
  <si>
    <t xml:space="preserve">          36.1</t>
  </si>
  <si>
    <t>1806/185</t>
  </si>
  <si>
    <t>Дзюбаа Юлія Романівна</t>
  </si>
  <si>
    <t>0963194893, сестра Катерина 0964948214</t>
  </si>
  <si>
    <t>ІХС ДК ГХ2 ГЛШст2 КВР3 СН2 ФК3, ЦД2, Cr прав молоч залози після промен терап</t>
  </si>
  <si>
    <t>7 днів до госп</t>
  </si>
  <si>
    <t>значні інтер зміни більше в задніх відділах</t>
  </si>
  <si>
    <t>1717/25</t>
  </si>
  <si>
    <t>Яremчука Дарина Романівна</t>
  </si>
  <si>
    <t>0635244106 син Микола</t>
  </si>
  <si>
    <t>ІІІ</t>
  </si>
  <si>
    <t>Респірат дестрес синдром, емфізема легень, СЛН ТІШ</t>
  </si>
  <si>
    <t>ІХС. Фібриляція передсердь</t>
  </si>
  <si>
    <t>повторного УЗД не було</t>
  </si>
  <si>
    <t>3213/476</t>
  </si>
  <si>
    <t>Паламар Володимир Володимирович</t>
  </si>
  <si>
    <t>ІХС ДК Післяпневмонічний дифузний базальний фіброз легень</t>
  </si>
  <si>
    <t>3 дні в стац</t>
  </si>
  <si>
    <t xml:space="preserve">біл 14 </t>
  </si>
  <si>
    <t>Ro ОГК-формуван дифузного базального фіброзу легень, більше справа</t>
  </si>
  <si>
    <t>2831/393</t>
  </si>
  <si>
    <t>Семенюка Зоряна Андріївна</t>
  </si>
  <si>
    <t>3 дні до госп</t>
  </si>
  <si>
    <t>помірні інтерст зміни більше в ниж долв лвої легені</t>
  </si>
  <si>
    <t>2998/135</t>
  </si>
  <si>
    <t>Чернегаа Наталія Іванівна</t>
  </si>
  <si>
    <t>І-ІІ</t>
  </si>
  <si>
    <t>ГХ 2-3ст, ЦД вперше виявлений</t>
  </si>
  <si>
    <t>160/110</t>
  </si>
  <si>
    <t>помірні інтерст зміни в задніх та передніх зонах</t>
  </si>
  <si>
    <t>2673/681</t>
  </si>
  <si>
    <t>Юрійчука Софія Дмитрівна</t>
  </si>
  <si>
    <t>0679110285 подруга Зоряна</t>
  </si>
  <si>
    <t>ІХС Стенокар напруги, тахісист варіан, ГХст3</t>
  </si>
  <si>
    <t>2 дні в стац</t>
  </si>
  <si>
    <t>37+концен додому</t>
  </si>
  <si>
    <t>помірні інтерст зміни в ниж відд, пристінковий випіт 8мм, біла легеня</t>
  </si>
  <si>
    <t>двобічний гідроторакс, на концентраторі вдома</t>
  </si>
  <si>
    <t>1731/280</t>
  </si>
  <si>
    <t>Юрійчук Андрій іванович</t>
  </si>
  <si>
    <t>0993228088, син Степан 0954230048</t>
  </si>
  <si>
    <t>ІХС ДК</t>
  </si>
  <si>
    <t>5 днів в стац</t>
  </si>
  <si>
    <t>в правій долі значні інтерст зміни</t>
  </si>
  <si>
    <t>2612/542</t>
  </si>
  <si>
    <t>Єрмолюк Григорій Павлович</t>
  </si>
  <si>
    <t>Негосп полісег пневм 3 кл гр</t>
  </si>
  <si>
    <t>Ro ОГК-двоб пневмонія, ст.розсмоктування</t>
  </si>
  <si>
    <t>3072/418</t>
  </si>
  <si>
    <t>Руснак Олександр Андрійович</t>
  </si>
  <si>
    <t>Хрон гастродуоденіт</t>
  </si>
  <si>
    <t>помірні інтерст зміни в ниж відд, точкові фіброзні включення в плеврі</t>
  </si>
  <si>
    <t>дибіл</t>
  </si>
  <si>
    <t>2592/430</t>
  </si>
  <si>
    <t>Марчук Павло Романович</t>
  </si>
  <si>
    <t>син владислав 0997879432</t>
  </si>
  <si>
    <t>ІХС ДК . ГХ ІІІ</t>
  </si>
  <si>
    <t>помірні фіброзні зміни в ниж долях</t>
  </si>
  <si>
    <t xml:space="preserve">інфаркт 7 днів до госп, 3 стенти. В анамнезі 3 інфаркта </t>
  </si>
  <si>
    <t>1276/596</t>
  </si>
  <si>
    <t>Вережака Уляна Юріївна</t>
  </si>
  <si>
    <t>син Ярослав 0638421083</t>
  </si>
  <si>
    <t>Негосп полісег пнев 4 кл гр</t>
  </si>
  <si>
    <t>ІХС Післяінфар кардіоск, ГХст3, фібриляція передсер,шлун екстрасисит аритмія</t>
  </si>
  <si>
    <t>помірні інтерст зміни</t>
  </si>
  <si>
    <t>введенно Актемра</t>
  </si>
  <si>
    <t>2501/673</t>
  </si>
  <si>
    <t>Бондар Петро Іванович</t>
  </si>
  <si>
    <t>0638440932, дружина Ганна 0634845263</t>
  </si>
  <si>
    <t>Негосп полісегм пнев 3 кл гр</t>
  </si>
  <si>
    <t>ЦД</t>
  </si>
  <si>
    <t>612/177</t>
  </si>
  <si>
    <t>Хмараа Софія Дмитрівна</t>
  </si>
  <si>
    <t>Негосп дв полісегм пнев 3 кл гр</t>
  </si>
  <si>
    <t>помірні інтерст зміни в серед відд і ниж доля справа</t>
  </si>
  <si>
    <t>2996/84</t>
  </si>
  <si>
    <t>Гнатюка Катерина Олегівна</t>
  </si>
  <si>
    <t>син Володимир 0679932157</t>
  </si>
  <si>
    <t>ІХС ДК ГХст2 СНІІа</t>
  </si>
  <si>
    <t>Co-rads-1</t>
  </si>
  <si>
    <t>1 день в стац</t>
  </si>
  <si>
    <t>чергування помірних та значних інтерст змін</t>
  </si>
  <si>
    <t>знах на стац лікув у війск госпіт 7 днів і самос відмовил від лікув</t>
  </si>
  <si>
    <t>Кулика Наталія Олександрівна</t>
  </si>
  <si>
    <t>0675795111, дочка 0954432568</t>
  </si>
  <si>
    <t>серед ступ</t>
  </si>
  <si>
    <t>5 днів до госп</t>
  </si>
  <si>
    <t>в синусах рідина зліва, вираж інтерст та кортикальні зміни</t>
  </si>
  <si>
    <t>екстерпація маки, медикаментозна алеогрія</t>
  </si>
  <si>
    <t>Єрмолюк Степан Іванович</t>
  </si>
  <si>
    <t>0966327926, син 0635154742</t>
  </si>
  <si>
    <t>ЦД тип 2, ІХС ДК ГХст2 ГЛШ СНІІа</t>
  </si>
  <si>
    <t>65-70%</t>
  </si>
  <si>
    <t>14 днів до госп</t>
  </si>
  <si>
    <t>200/120</t>
  </si>
  <si>
    <t>КТ ОГК-помірна позитивна динаміка</t>
  </si>
  <si>
    <t>білок в сечі, високий АТ</t>
  </si>
  <si>
    <t>2136/224</t>
  </si>
  <si>
    <t>Ватаманюк Ігор Дмитрович</t>
  </si>
  <si>
    <t>дружина Юлія 0950856517</t>
  </si>
  <si>
    <t>ІХС ДК ГХст2 ГЛШст3 СН2</t>
  </si>
  <si>
    <t>RoОГК-картина перенесеного запал легень, ознаки базального фіброзу</t>
  </si>
  <si>
    <t>алкогольний делірій</t>
  </si>
  <si>
    <t>2129/293</t>
  </si>
  <si>
    <t>Шпака Ольга Павлівна</t>
  </si>
  <si>
    <t>0675996775, син Сергій 0500314503</t>
  </si>
  <si>
    <t>ЦЖ ІІ тип</t>
  </si>
  <si>
    <t>RоОГК-змен пневматиз в н/відд обоз легень, фіброзні зміни</t>
  </si>
  <si>
    <t>1738/55</t>
  </si>
  <si>
    <t>Гринчука Ольга Богданівна</t>
  </si>
  <si>
    <t>0953924196, чол.Володимир 0998982104</t>
  </si>
  <si>
    <t>ЦД тип 2, ІХС ДК СНст1 ФК ІІІ</t>
  </si>
  <si>
    <t>25-30%</t>
  </si>
  <si>
    <t>4 дні в стац</t>
  </si>
  <si>
    <t>RоОГК-картина перенес запал легень, форм вогнищ фіброзу</t>
  </si>
  <si>
    <t>3018/419</t>
  </si>
  <si>
    <t>Харитонюка Юлія Петрівна</t>
  </si>
  <si>
    <t>0954754072, дочка Христина 0507547354</t>
  </si>
  <si>
    <t>7 днів до госп+2дні в стац</t>
  </si>
  <si>
    <t>RoОГК-картина перенесеного запал легень</t>
  </si>
  <si>
    <t>391/531</t>
  </si>
  <si>
    <t>Юрійчука Марія Олександрівна</t>
  </si>
  <si>
    <t>легка</t>
  </si>
  <si>
    <t>6 днів до госп</t>
  </si>
  <si>
    <t>1006/224</t>
  </si>
  <si>
    <t>Яворськийа Зоряна Дмитрівна</t>
  </si>
  <si>
    <t>дочка Тетяна 0638861930</t>
  </si>
  <si>
    <t>Негосп дв полісегм пнев 4 кл гр</t>
  </si>
  <si>
    <t>ІХС ДК СН2ст</t>
  </si>
  <si>
    <t>98 на конц</t>
  </si>
  <si>
    <t>перш 10 днів в стац</t>
  </si>
  <si>
    <t>періодично протяг лікув в стац</t>
  </si>
  <si>
    <t>інтерст зміни в прав легені в ниж долі, в середній 1/3 легені кортикальні зміни, верх 1/3 інтерст зміни</t>
  </si>
  <si>
    <t>ожиріння ІІ ст, виписана на концентраторі, суїцидальні думки</t>
  </si>
  <si>
    <t>Шпака Христина Сергіївна</t>
  </si>
  <si>
    <t>0995568983, чол Сергій 0679822290</t>
  </si>
  <si>
    <t>ІХС Післяінфар кардіоск, ГХст3, ГЛШ СН2а</t>
  </si>
  <si>
    <t>помірні інтерст зміни в серед та ниж 1/3, верх 1/3 легень, позит динаміка, незнач к-сть випоту -5мм</t>
  </si>
  <si>
    <t>2806/426</t>
  </si>
  <si>
    <t>Бондар Микола Романович</t>
  </si>
  <si>
    <t>0672022697, невістка Тетяна 0960438581</t>
  </si>
  <si>
    <t>ЦД 2тип, ІХС ДК ГХст2 ГЛШ СН2а Фібр передсер</t>
  </si>
  <si>
    <t>10 днів до госп</t>
  </si>
  <si>
    <t>незначні інтерст зміни в верх долях та поодинокі діл в ниж долях прав легені,зліва поодин В-лінії в верх долі</t>
  </si>
  <si>
    <t xml:space="preserve">глюкозурія  </t>
  </si>
  <si>
    <t>1545/172</t>
  </si>
  <si>
    <t>Вережак Олександр Васильович</t>
  </si>
  <si>
    <t>0964502831, друж Марія 0956323373</t>
  </si>
  <si>
    <t>ІХС ДК ГХст2 ГЛШст2 Опасистість2ст</t>
  </si>
  <si>
    <t>5 днів до госп+3 дні в стац</t>
  </si>
  <si>
    <t>160/90</t>
  </si>
  <si>
    <t>Ro ОГК-динаміка негативна</t>
  </si>
  <si>
    <t>144/570</t>
  </si>
  <si>
    <t>Фединяк Роман Петрович</t>
  </si>
  <si>
    <t>0951331159, друж Марина 0992123636</t>
  </si>
  <si>
    <t>ІХС ДК Стенок напруги ГХст2а ЦД Іітип</t>
  </si>
  <si>
    <t>110/70</t>
  </si>
  <si>
    <t>в нижніх долях легень консолідація біл справа</t>
  </si>
  <si>
    <t>перенесений інфарк, стентування, глюкозурія, протеїнурія</t>
  </si>
  <si>
    <t>2813/90</t>
  </si>
  <si>
    <t>Вережак Микола Григорович</t>
  </si>
  <si>
    <t>0637212835, дружт 0956990854</t>
  </si>
  <si>
    <t>ІХС Стабільна стенок напруги, ГХст3, ГЛШст2</t>
  </si>
  <si>
    <t>КТ ознаки правоб верхчасткового інтерст захв легень</t>
  </si>
  <si>
    <t>7 днів в стац</t>
  </si>
  <si>
    <t>120/70</t>
  </si>
  <si>
    <t>Ro ОГК-динаміка позитивна</t>
  </si>
  <si>
    <t>1324/147</t>
  </si>
  <si>
    <t>Височана Тетяна Дмитрівна</t>
  </si>
  <si>
    <t>0960187916. чол Володимир 0999797802</t>
  </si>
  <si>
    <t>ІХС.ДК СНмт2а Анемія важк ст нез'яс генезу.Хрон холицистит</t>
  </si>
  <si>
    <t>вираж інтерст зміни більше справа, зліва кортикальна консолідація.</t>
  </si>
  <si>
    <t>анемія не визначеного генезу</t>
  </si>
  <si>
    <t>2848/258</t>
  </si>
  <si>
    <t>Гнатюка Катерина Іванівна</t>
  </si>
  <si>
    <t>дочка Тетяна 0961524735</t>
  </si>
  <si>
    <t xml:space="preserve">ІХС Стабільна стенок напруги, </t>
  </si>
  <si>
    <t>Ro ОГК стадія фіброзування</t>
  </si>
  <si>
    <t>стентування, гіпертонічні кризи</t>
  </si>
  <si>
    <t>Мельничук Ігор Олегович</t>
  </si>
  <si>
    <t>0953197967, друж 0960736087</t>
  </si>
  <si>
    <t>ГХст2ГЛШст2 Медикаментозна алергія</t>
  </si>
  <si>
    <t>КТ2, Со-Rads 6</t>
  </si>
  <si>
    <t>130/70</t>
  </si>
  <si>
    <t>помірні залишкові зміни в латерних сегментатах (фіброзі)</t>
  </si>
  <si>
    <t xml:space="preserve">4442; 1084 </t>
  </si>
  <si>
    <t>987; 554</t>
  </si>
  <si>
    <t>1662/15</t>
  </si>
  <si>
    <t>Ткачук Ігор Сергійович</t>
  </si>
  <si>
    <t>0962819539, друж Людмила 0508276116</t>
  </si>
  <si>
    <t>помірні інтерст зміни більше зліва та в передніх зонах</t>
  </si>
  <si>
    <t>Урсуляк Іван Андрійович</t>
  </si>
  <si>
    <t>0503817805, друж Вікторія 0997803704</t>
  </si>
  <si>
    <t xml:space="preserve">ІХС ДК ГХст2 СН1 </t>
  </si>
  <si>
    <t>5 дні в стац</t>
  </si>
  <si>
    <t>кортикальні зміни в базальних сегм, інтерст зміни лівих перед та бічних зонах</t>
  </si>
  <si>
    <t>480;</t>
  </si>
  <si>
    <t>Психоорганічний розлад з депресивними проявами, безсоння</t>
  </si>
  <si>
    <t>Жмуркоа Ірина Григорівна</t>
  </si>
  <si>
    <t>дочка Уляна 0998288983</t>
  </si>
  <si>
    <t>Негосп дв полісегм пнев 4 кл група</t>
  </si>
  <si>
    <t>ЦД тип ІІ, ІХС ДК ГХ2 ГЛШст2 СН2а</t>
  </si>
  <si>
    <t>10 днів в стац</t>
  </si>
  <si>
    <t>помірні фіброзні зміни, лінія плеври ущільнена,потовщена, неоднорідна</t>
  </si>
  <si>
    <t>Фединяка Ольга Володимирівна</t>
  </si>
  <si>
    <t>дочка Людмила 0958179223</t>
  </si>
  <si>
    <t>ЦД тип ІІ вперше вияв ІХС ДК ГХ2 ГЛШст2 СН2а</t>
  </si>
  <si>
    <t>110/80</t>
  </si>
  <si>
    <t>помірні фіброзні зміни дифузний тип</t>
  </si>
  <si>
    <t>стан після комбінованого лікув Cr матки</t>
  </si>
  <si>
    <t>Чернегаа Олена Іванівна</t>
  </si>
  <si>
    <t>син Юрій 0968372527</t>
  </si>
  <si>
    <t>Гострий респіраторний дистрес синдром,ТЕЛА?Прогресуюча серц-леген недос</t>
  </si>
  <si>
    <t>ЦД тип ІІ вперше вияв ІХС ДК ГХ2 ГЛШст2 СН2а. Хрон нирк недос ІІст, хрон пієлонефрит</t>
  </si>
  <si>
    <t>125/75</t>
  </si>
  <si>
    <t>виражені інтерстиційні зміни біл в базально-латеральних сегментах</t>
  </si>
  <si>
    <t>Лесюка Світлана Богданівна</t>
  </si>
  <si>
    <t>брат Олег 0999043163</t>
  </si>
  <si>
    <t>Гострий респіраторний дистрес синдром,ТЕЛА?Прогресуюча серц-леген недос.Септичний шок. Бактеріальна деструкція легень</t>
  </si>
  <si>
    <t xml:space="preserve">ГХ 2 ГЛШст2 СН І </t>
  </si>
  <si>
    <t>7 днів до госп + відд</t>
  </si>
  <si>
    <t>значні інтерстиц зміни правої легені, зліва помірні</t>
  </si>
  <si>
    <t>переливання еритроцитарної маси</t>
  </si>
  <si>
    <t>Жуковськийа Валентина Василівна</t>
  </si>
  <si>
    <t>чол Володимир 0503729871</t>
  </si>
  <si>
    <t>ЦД тип ІІ, ІХС ДК Стенокардія напруги ГХст2</t>
  </si>
  <si>
    <t>інтерст-кортикальні зміни біл виражені в перед правих сегм</t>
  </si>
  <si>
    <t>Лесюка Зоряна Олегівна</t>
  </si>
  <si>
    <t>дочка Олена 0676079113</t>
  </si>
  <si>
    <t>Гострий респіраторний дистрес синдром,ТЕЛА?Прогресуюча серц-леген недос. Гостре порушення мозкового кровообігу</t>
  </si>
  <si>
    <t>ІХС ДК ГХст2</t>
  </si>
  <si>
    <t>значні інтерстиц зміни в задніх та передніх зонах</t>
  </si>
  <si>
    <t>Іщука Світлана Григорівна</t>
  </si>
  <si>
    <t>син ОЛлександр0635219803</t>
  </si>
  <si>
    <t>Гострий респіраторний дистрес синдром. Прогресуюча серц-леген недос. Сладж синдром .Гостра емфізема легень.Вірусний енцефаліт</t>
  </si>
  <si>
    <t>4дні до госп</t>
  </si>
  <si>
    <t xml:space="preserve">110/70 </t>
  </si>
  <si>
    <t>0.10</t>
  </si>
  <si>
    <t>12.</t>
  </si>
  <si>
    <t>5.9.</t>
  </si>
  <si>
    <t>Ткачук Петро Володимирович</t>
  </si>
  <si>
    <t>дочка Юлія 0638639848</t>
  </si>
  <si>
    <t>Гострий респіраторний дистрес синдром.Гострий некротичний нефроз. Набряк легень</t>
  </si>
  <si>
    <t>3дні вдома</t>
  </si>
  <si>
    <t>значні фіброзні зміни в задніх зонах</t>
  </si>
  <si>
    <t>8.0</t>
  </si>
  <si>
    <t>Андрусяка Ольга Сергіївна</t>
  </si>
  <si>
    <t>син Богдан 0632692767</t>
  </si>
  <si>
    <t>Гострий респіраторний дистрес синдром. Прогресуюча серц-леген недос .Гостра емфізема легень.Токсико-інфекційний шок</t>
  </si>
  <si>
    <t>ІХС ДК ГХст3</t>
  </si>
  <si>
    <t>10 днів вдома</t>
  </si>
  <si>
    <t>180/105</t>
  </si>
  <si>
    <t>0.1</t>
  </si>
  <si>
    <t>Перепелюк Богдан Романович</t>
  </si>
  <si>
    <t>дружина Надія0964985568</t>
  </si>
  <si>
    <t>Гострий респіраторний дистрес синдром. Гостра серц-леген недос .Гостра емфізема легень.Токсико-інфекційний шок</t>
  </si>
  <si>
    <t>5днів до госпіт</t>
  </si>
  <si>
    <t>180/110</t>
  </si>
  <si>
    <t xml:space="preserve">                                             даних немає</t>
  </si>
  <si>
    <t>даних</t>
  </si>
  <si>
    <t>немає</t>
  </si>
  <si>
    <t>Яворськийа Софія Іванівна</t>
  </si>
  <si>
    <t>дочка Людмила 0503327967</t>
  </si>
  <si>
    <t>Гострий респіраторний дистрес синдром. Гостра серц-леген недос .Гостра емфізема легень.Токсико-інфекційний шок.Гепатит</t>
  </si>
  <si>
    <t xml:space="preserve">                                              даних немає</t>
  </si>
  <si>
    <t>56.2</t>
  </si>
  <si>
    <t>Часті маткові кровотечі</t>
  </si>
  <si>
    <t>Данилюка Ольга Андріївна</t>
  </si>
  <si>
    <t>невістка Ганна0965816354</t>
  </si>
  <si>
    <t>Гострий респіраторний дистрес синдром. Гостра серц-леген недос .Гостра емфізема легень.</t>
  </si>
  <si>
    <t>3дні в стац</t>
  </si>
  <si>
    <t xml:space="preserve">Руснак Олександр Павлович </t>
  </si>
  <si>
    <t>чол</t>
  </si>
  <si>
    <t>НГ дв. Полісег пневмонія 3 кл.гр</t>
  </si>
  <si>
    <t>ІХС.ДК. ГХ ІІ</t>
  </si>
  <si>
    <t>25-35 %</t>
  </si>
  <si>
    <t>Ro ОГК фіброзні зміни в н/в</t>
  </si>
  <si>
    <t>носові кровотечі</t>
  </si>
  <si>
    <t>1858/496</t>
  </si>
  <si>
    <t>Харитонюка Катерина Богданівна</t>
  </si>
  <si>
    <t>жін</t>
  </si>
  <si>
    <t>0671076177 дочка Дарина</t>
  </si>
  <si>
    <t>НГ дв. Полісег пневмонія 4кл гр.</t>
  </si>
  <si>
    <t xml:space="preserve">вкрай важкий </t>
  </si>
  <si>
    <t>ІХС.ДК. ГХ ІІІ. Гіпотериоз</t>
  </si>
  <si>
    <t>180/120</t>
  </si>
  <si>
    <t>пристінковий випіт  справа 10 мм</t>
  </si>
  <si>
    <t>Поліалергетик</t>
  </si>
  <si>
    <t>3260/324</t>
  </si>
  <si>
    <t>Ковалик Володимир Андрійович</t>
  </si>
  <si>
    <t>син 0951520299</t>
  </si>
  <si>
    <t>НГ дв. Полісег пневмонія 4 кл.гр</t>
  </si>
  <si>
    <t>Ro ОГК форм.базального фіброзу</t>
  </si>
  <si>
    <t>1102/336</t>
  </si>
  <si>
    <t>Андрусяка Софія Романівна</t>
  </si>
  <si>
    <t xml:space="preserve">ІХС.ДК. Шл екстрасит </t>
  </si>
  <si>
    <t>100/60</t>
  </si>
  <si>
    <t>Ro ОГК перенесеного запалення легень</t>
  </si>
  <si>
    <t xml:space="preserve">Часта втрата свідомості </t>
  </si>
  <si>
    <t>1056/44</t>
  </si>
  <si>
    <t xml:space="preserve">Шпак Віктор Сергійович </t>
  </si>
  <si>
    <t>ІХС.ДК. ХОЗЛ</t>
  </si>
  <si>
    <t xml:space="preserve">ЦД вперше виявлений </t>
  </si>
  <si>
    <t>687/376</t>
  </si>
  <si>
    <t xml:space="preserve">Костюк Віктор Григорович </t>
  </si>
  <si>
    <t>ІХС.Стенокардія напруги</t>
  </si>
  <si>
    <t xml:space="preserve">2-Інфаркти, 2 стенти </t>
  </si>
  <si>
    <t>2456/355</t>
  </si>
  <si>
    <t xml:space="preserve">Заячук Тарас григорович </t>
  </si>
  <si>
    <t xml:space="preserve">ІХС.ДК. </t>
  </si>
  <si>
    <t>Ro ОГК незначні фіброзні зміни</t>
  </si>
  <si>
    <t>2-Інфаркти, 1 стент. ЦД вперше виявлений</t>
  </si>
  <si>
    <t>1561/701</t>
  </si>
  <si>
    <t>Бабій Олександр Петрович</t>
  </si>
  <si>
    <t>ІХС.ДК. ХОЗЛ. ГХ ІІ</t>
  </si>
  <si>
    <t>45-50%</t>
  </si>
  <si>
    <t>інтерстиційні зміни , "біла легеня " справа . Дифузні фіброзні зміни</t>
  </si>
  <si>
    <t>Вводили Актемру ,  ( Напади агресії , суїцидальні думки )</t>
  </si>
  <si>
    <t>79/374</t>
  </si>
  <si>
    <t>Яremчук Павло Сергійович</t>
  </si>
  <si>
    <t>Хрон.  Ероз. гастродуоденіт</t>
  </si>
  <si>
    <t xml:space="preserve">легкий </t>
  </si>
  <si>
    <t>114/736</t>
  </si>
  <si>
    <t>Кулика Ольга романівна</t>
  </si>
  <si>
    <t>хр.панкреатит. Диф нетокс зоб.ХОЗЛ</t>
  </si>
  <si>
    <t>Ro ОГК незначна позитивна динаміка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</si>
  <si>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</si>
  <si>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2926/273</t>
  </si>
  <si>
    <t xml:space="preserve">Ткачука Юлія Олегівна </t>
  </si>
  <si>
    <t>незначні інтерстецийні зміни</t>
  </si>
  <si>
    <t xml:space="preserve"> часті маткові  кроветечі </t>
  </si>
  <si>
    <t>1888/115</t>
  </si>
  <si>
    <t>Лесюк Іван Володимирович</t>
  </si>
  <si>
    <t xml:space="preserve">ІХС.ДК. ГХ ІІ. ЦД </t>
  </si>
  <si>
    <t>вкрай важкий</t>
  </si>
  <si>
    <t>89 на конц</t>
  </si>
  <si>
    <t xml:space="preserve"> незначна позитивна динаміка, фіброзні зміни</t>
  </si>
  <si>
    <t>виписаний додому з концентр.</t>
  </si>
  <si>
    <t>497/721</t>
  </si>
  <si>
    <t xml:space="preserve">Нечитайло віктор Олегович </t>
  </si>
  <si>
    <t>ІХС.ДК. ГХ ІІ. Міокардит .Аритмія</t>
  </si>
  <si>
    <t>?</t>
  </si>
  <si>
    <t>помірні інтерстиц. зміни</t>
  </si>
  <si>
    <t xml:space="preserve">  Розумова деменція , можливо вроджена ))</t>
  </si>
  <si>
    <t>3033/34</t>
  </si>
  <si>
    <t xml:space="preserve">Лазарчук Володимир Романович </t>
  </si>
  <si>
    <t xml:space="preserve">Хр.тонзиліт </t>
  </si>
  <si>
    <t>60-70</t>
  </si>
  <si>
    <t>множинні вогнища ущільнення</t>
  </si>
  <si>
    <t>2371/432</t>
  </si>
  <si>
    <t>Руснака Оксана Іванівна</t>
  </si>
  <si>
    <t>0638296017невістка</t>
  </si>
  <si>
    <t>ІХС.ДК.  ГХ ІІ.Анемія середн.важк</t>
  </si>
  <si>
    <t>40-45%</t>
  </si>
  <si>
    <t>Ro ОГК множинні фіброзні зміни</t>
  </si>
  <si>
    <t>виписана додому з концентр. Часті носові  кровотечі</t>
  </si>
  <si>
    <t>1124/483</t>
  </si>
  <si>
    <t xml:space="preserve">Заячука Уляна Миколаївна </t>
  </si>
  <si>
    <t>50-75%</t>
  </si>
  <si>
    <t xml:space="preserve">важкий </t>
  </si>
  <si>
    <t>1601/88</t>
  </si>
  <si>
    <t xml:space="preserve">Яворськийа Зоряна Василівна </t>
  </si>
  <si>
    <t xml:space="preserve">Хр.Гастроентероколіт </t>
  </si>
  <si>
    <t>816/358</t>
  </si>
  <si>
    <t>Оленюка Світлана Богданівна</t>
  </si>
  <si>
    <t>ІХС.ДК. ХОЗЛ. Остеоартроз</t>
  </si>
  <si>
    <t>Поліалергетик, Аспіринова тріада</t>
  </si>
  <si>
    <t>Андрусяка Ірина григорівна</t>
  </si>
  <si>
    <t>стадія фіброзування, стан після лікування</t>
  </si>
  <si>
    <t>Ульянчук Григорій Володимирович</t>
  </si>
  <si>
    <t>0673257192 подруга</t>
  </si>
  <si>
    <t>Гамалійа Юлія Андріївна</t>
  </si>
  <si>
    <t>0637613414 дочка Софія</t>
  </si>
  <si>
    <t>130/85</t>
  </si>
  <si>
    <t>незначні фіброзні зміни</t>
  </si>
  <si>
    <t>Єрмолюка Оксана Григорівна</t>
  </si>
  <si>
    <t>0960053051 дочка Наталія</t>
  </si>
  <si>
    <t>НГ дв. Полісег пневмонія4кл.гр.</t>
  </si>
  <si>
    <t xml:space="preserve">ГРДС </t>
  </si>
  <si>
    <t>ІХС.ДК. ГХ ІІ. ЦД .Рак молочної з-зи. Маніакал-депрес синдром</t>
  </si>
  <si>
    <t>Фіброзні зміни дифузний тип</t>
  </si>
  <si>
    <t>Цвігуна Софія Павлівна</t>
  </si>
  <si>
    <t>0997605538 син Микола</t>
  </si>
  <si>
    <t>ІХС.ДК. ГХ ІІ. ЦД .Рак лівої молочної з-зи. Хронічна анемія</t>
  </si>
  <si>
    <t>24.024.2021</t>
  </si>
  <si>
    <t>170/90</t>
  </si>
  <si>
    <t>Переливання крові</t>
  </si>
  <si>
    <t xml:space="preserve">Яворський Павло Романович </t>
  </si>
  <si>
    <t>072761514 дочка Катерина</t>
  </si>
  <si>
    <t>20.24.2021</t>
  </si>
  <si>
    <t xml:space="preserve"> "білі легені " </t>
  </si>
  <si>
    <t xml:space="preserve">Шевчука Марія Григорівна </t>
  </si>
  <si>
    <t>06762394249 брат Роман</t>
  </si>
  <si>
    <t>ГРДС .ТЕЛА</t>
  </si>
  <si>
    <t>ІХС.ДК.  ГХ ІІІ</t>
  </si>
  <si>
    <t>Заячука Софія Олегівна</t>
  </si>
  <si>
    <t>0969974535 дочка Юлія</t>
  </si>
  <si>
    <t>ІХС.ДК.  Хронічна анемія</t>
  </si>
  <si>
    <t>100/70</t>
  </si>
  <si>
    <t>90/60</t>
  </si>
  <si>
    <t>гемоліз</t>
  </si>
  <si>
    <t>Перепелюка Наталія Василівна</t>
  </si>
  <si>
    <t xml:space="preserve">ГРДС .ТЕЛА.Поліорганна недостатність </t>
  </si>
  <si>
    <t xml:space="preserve">ІХС.ДК. ЦД. Рак лівої молочної з-зи. </t>
  </si>
  <si>
    <t>7.</t>
  </si>
  <si>
    <t>15.</t>
  </si>
  <si>
    <t>110/60</t>
  </si>
  <si>
    <t>Тривалий Кушингоїд</t>
  </si>
  <si>
    <t xml:space="preserve">Харитонюка Надія Петрівна </t>
  </si>
  <si>
    <t xml:space="preserve">0634104751 внучкаАльона </t>
  </si>
  <si>
    <t>ГРДС.Інфаркт.ТЕЛА</t>
  </si>
  <si>
    <t>ІХС.ДК. ГХ ІІІ Гепатит</t>
  </si>
  <si>
    <t>4.</t>
  </si>
  <si>
    <t>Яворськийа Христина Іванівна</t>
  </si>
  <si>
    <t>0962359534син Віктор</t>
  </si>
  <si>
    <t>ГРДС. ТЕЛА.Набряк легень</t>
  </si>
  <si>
    <t xml:space="preserve">ІХС.ДК. ЦД. ГХ ІІІ. </t>
  </si>
  <si>
    <t>Лесюка Оксана Юріївна</t>
  </si>
  <si>
    <t>0962446026чоловік Василь</t>
  </si>
  <si>
    <t>ІХС</t>
  </si>
  <si>
    <t>Мельничука Юлія Петрівна</t>
  </si>
  <si>
    <t>0992007009невістка Катерина</t>
  </si>
  <si>
    <t>ІХС.ДК.</t>
  </si>
  <si>
    <t>150/80</t>
  </si>
  <si>
    <t>Данилюка Зоряна Василівна</t>
  </si>
  <si>
    <t>0504887781 Марина</t>
  </si>
  <si>
    <t>Негосп дв полісегм пневмонія 4 кл група</t>
  </si>
  <si>
    <t>Гострий респіраторний дистрес синдром. Гостра серц-леген недос .Гостра емфізема легень.Токсико-інфекційний шок. Шокові нирки.Некронефроз</t>
  </si>
  <si>
    <t>ІХС ДК СН ІІа ФК 3</t>
  </si>
  <si>
    <t>Мельничук Василь Юрійович</t>
  </si>
  <si>
    <t>0670383004 друж Марія</t>
  </si>
  <si>
    <t>Гострий респіраторний дистрес синдром. Гостра серц-леген недос .Гостра емфізема легень.Токсико-інфекційний шок. Набряк легень</t>
  </si>
  <si>
    <t>ІХС ДК ГХ ІІ СН ІІа ФК 3-4 Церебральний атеросклероз</t>
  </si>
  <si>
    <t xml:space="preserve">           </t>
  </si>
  <si>
    <t>Незначні фіброзні зміни більше в ниж долі правої легені</t>
  </si>
  <si>
    <t>Юращука Ганна Андріївна</t>
  </si>
  <si>
    <t>0505529301 сестра Лариса</t>
  </si>
  <si>
    <t>ІХС ДК ГХ ІІ СН ІІа ФК 3</t>
  </si>
  <si>
    <t>серед ступеня</t>
  </si>
  <si>
    <t>дв полісегм інтерст пнев</t>
  </si>
  <si>
    <t>Помірні інтерс зміни на фоні А профілю</t>
  </si>
  <si>
    <t>296/204</t>
  </si>
  <si>
    <t>Бондара Христина Петрівна</t>
  </si>
  <si>
    <t>0962992398 внук Влад</t>
  </si>
  <si>
    <t>Гострий респіраторний дистрес синдром. Гостра серц-леген недос .Гостра емфізема легень.Токсико-інфекційний шок. ТЕЛА?</t>
  </si>
  <si>
    <t>ІХС ДК ГХ ІІ СНІІа ФК3</t>
  </si>
  <si>
    <t>Інтерст зміни в базально-латеральних правих сегм, інші відд помірні</t>
  </si>
  <si>
    <t>Данилюка Уляна Андріївна</t>
  </si>
  <si>
    <t>0961299914 внучка</t>
  </si>
  <si>
    <t xml:space="preserve">Гострий респіраторний дистрес синдром. Гостра серц-леген недос .Гостра емфізема легень.Токсико-інфекційний шок. </t>
  </si>
  <si>
    <t xml:space="preserve"> 5 днів в стац</t>
  </si>
  <si>
    <t>Виражені інтерст зміни справа, помірні зліва</t>
  </si>
  <si>
    <t>Цуркана Світлана Миколаївна</t>
  </si>
  <si>
    <t>0953516768 син Григорій</t>
  </si>
  <si>
    <t xml:space="preserve">ІХС ДК ГЛШ ЦД ІІ тип. </t>
  </si>
  <si>
    <t>ішемічний інсульт 9.03.21</t>
  </si>
  <si>
    <t>2365/35</t>
  </si>
  <si>
    <t>Багрійа Тетяна Володимирівна</t>
  </si>
  <si>
    <t>плем альона 0954366282</t>
  </si>
  <si>
    <t>ІХС ДК ГХ ІІІ СН ІІА ЦД ІІ тип</t>
  </si>
  <si>
    <t>Виражені інтерст зміни справа</t>
  </si>
  <si>
    <t>церебральний атеросклероз в 2020, інсульт 2020</t>
  </si>
  <si>
    <t>Цуркана Зоряна Романівна</t>
  </si>
  <si>
    <t>дочка Ганна 0994262837</t>
  </si>
  <si>
    <t>ІХС ДК ГХст2. ЦД</t>
  </si>
  <si>
    <t>56.3</t>
  </si>
  <si>
    <t>50.3</t>
  </si>
  <si>
    <t>109.9</t>
  </si>
  <si>
    <t>82.4</t>
  </si>
  <si>
    <t xml:space="preserve">Гамалійа Зоряна Павлівна </t>
  </si>
  <si>
    <t>дочка Тетяна 0968704151</t>
  </si>
  <si>
    <t>ІХС ДК ГХст2. Опасистість ІІІ</t>
  </si>
  <si>
    <t>4дні в стац</t>
  </si>
  <si>
    <t>190/110</t>
  </si>
  <si>
    <t>130/100</t>
  </si>
  <si>
    <t>62.7</t>
  </si>
  <si>
    <t>14.0</t>
  </si>
  <si>
    <t>Заячук Володимир Володимирович</t>
  </si>
  <si>
    <t>дружина Христина 0993782760</t>
  </si>
  <si>
    <t>Прогресуюча серц-леген недос .Набряк легень . Мускатна печінка</t>
  </si>
  <si>
    <t>ІХС.ДК. Волога гангрена обох стоп і гомілок</t>
  </si>
  <si>
    <t>5днів вдома</t>
  </si>
  <si>
    <t xml:space="preserve">ознаки ексудативного плевриту та аневризми аорти </t>
  </si>
  <si>
    <t>12.0</t>
  </si>
  <si>
    <t>Бабійа Валентина Іванівна</t>
  </si>
  <si>
    <t>дочка галина 0507002238</t>
  </si>
  <si>
    <t>Гострий респіраторний дистрес синдром. Гостра серц-леген недос .Гостра емфізема легень.Сладж синдром</t>
  </si>
  <si>
    <t>Багрійа Світлана Олександрівна</t>
  </si>
  <si>
    <t>невістка Дарина 0635013510</t>
  </si>
  <si>
    <t>ІХС.ДК. ЦД. Атеросклероз аорти</t>
  </si>
  <si>
    <t>Романюка Уляна Богданівна</t>
  </si>
  <si>
    <t>син Віктор 0995165850</t>
  </si>
  <si>
    <t>Інсульт тричі</t>
  </si>
  <si>
    <t>Дзюба Юрій Андрійович</t>
  </si>
  <si>
    <t>дружина Катерина 0503022502</t>
  </si>
  <si>
    <t>Прогресуюча серц-леген недос .Набряк легень . Сладж синдром</t>
  </si>
  <si>
    <t>ІХС.ДК. ЦД. Атеросклероз аорти.Дифузний ліпоматоз (ожиріння 3)</t>
  </si>
  <si>
    <t>виражені інтерстиційні зміни , консолідації  зліва та справа</t>
  </si>
  <si>
    <t xml:space="preserve">Часті напади агресії </t>
  </si>
  <si>
    <t xml:space="preserve">Лесюк Павло Петрович </t>
  </si>
  <si>
    <t>дружина Марія 0963419082</t>
  </si>
  <si>
    <t>Цукровий діабет Іітип , Опасистість ІІІ</t>
  </si>
  <si>
    <t>Перепелюка Ірина Сергіївна</t>
  </si>
  <si>
    <t>родич Роман 0998637877</t>
  </si>
  <si>
    <t>Гострий респіраторний дистрес синдром. Гостра серц-леген недос .Гостра емфізема легень.Токсико-інфекційний шок.Сладж синдром</t>
  </si>
  <si>
    <t>ІХС.ДК.ГХ ст2  .Атеросклероз аорти</t>
  </si>
  <si>
    <t>5 днів вдома</t>
  </si>
  <si>
    <t xml:space="preserve">помірні інтерстиційні зміни </t>
  </si>
  <si>
    <t>Ткачука Ганна Дмитрівна</t>
  </si>
  <si>
    <t>внук Михайло0632764129</t>
  </si>
  <si>
    <t>ІХС ДК ГХст2.</t>
  </si>
  <si>
    <t>2дні в стац</t>
  </si>
  <si>
    <t>виражені інтерстиційні зміни , дифузний тип</t>
  </si>
  <si>
    <t>Сорочан Олег Григорович</t>
  </si>
  <si>
    <t>дружина Оксана 0679360550</t>
  </si>
  <si>
    <t xml:space="preserve">Прогресуюча серц-леген недос .Набряк легень . Сладж синдром. Гідроперекард . Двобічний гідроторакс </t>
  </si>
  <si>
    <t>виражені фіброзні зміни</t>
  </si>
  <si>
    <t xml:space="preserve">Оленюка Тетяна Андріївна </t>
  </si>
  <si>
    <t>невістка Тетяна 0678792687</t>
  </si>
  <si>
    <t>4 дні вдома</t>
  </si>
  <si>
    <t>Гринчук Віктор Іванович</t>
  </si>
  <si>
    <t>племінниця Софія 0952056832</t>
  </si>
  <si>
    <t>ІХС.ДК .Атеросклероз аорти. Первинно зморщені нирки</t>
  </si>
  <si>
    <t>помірні інтерстиційні зміни , виражені в передніх зонах</t>
  </si>
  <si>
    <t>Лесюк Степан Дмитрович</t>
  </si>
  <si>
    <t>син Ярослав 0960788203</t>
  </si>
  <si>
    <t>4днівдома</t>
  </si>
  <si>
    <t>Гамалій Дмитро Андрійович</t>
  </si>
  <si>
    <t>внук Євген 0951100989</t>
  </si>
  <si>
    <t>Прогресуюча серц-леген недос .Набряк легень .Вогнищева емфізема легень .Сладж синдром</t>
  </si>
  <si>
    <t>ІХС ДК ГХст2.Емфізема легень</t>
  </si>
  <si>
    <t>Дзюбаа Ганна Андріївна</t>
  </si>
  <si>
    <t>син Дмитро 0996929844</t>
  </si>
  <si>
    <t>Прогресуюча серц-леген недос .Набряк легень .Гідроперекард 300мл. Двобічний гідроторакс 2л</t>
  </si>
  <si>
    <t>ІХС ДК ГХст2.Емфізема легень.Атеросклероз аорти. Первинно зморщені нирки</t>
  </si>
  <si>
    <t>Вережака Дарина Петрівна</t>
  </si>
  <si>
    <t>внучка Альона 0636643231</t>
  </si>
  <si>
    <t>Хмара Сергій Миколайович</t>
  </si>
  <si>
    <t>сестра Юлія 479672521</t>
  </si>
  <si>
    <t>Набряк головного мозку . Набряк легень. Ішемічний інсульт</t>
  </si>
  <si>
    <t>2335/289</t>
  </si>
  <si>
    <t>Бондар Іван Володимирович</t>
  </si>
  <si>
    <t>дочка Людмила 0672713831</t>
  </si>
  <si>
    <t>Гострий коронарний синдром. Гострий інфарк міокарда. ТЕЛА?</t>
  </si>
  <si>
    <t>Облітеруючий атеросклероз ниж кінц.оклюзія стегно-підколінного сегменту зліва,ішемія кінц. Хр бронхіт, пієлонефрит. Гепатит С</t>
  </si>
  <si>
    <t>значні фіброзні інтерстиційні зміни, дифузний тип, ексудативний плеврит зліва</t>
  </si>
  <si>
    <t>2071/203</t>
  </si>
  <si>
    <t>Перепелюк Степан Богданович</t>
  </si>
  <si>
    <t>дочка Валентина 0507425657</t>
  </si>
  <si>
    <t xml:space="preserve">ІХС ДК СН ІІа Атеросклероз аорти та вінцевих судин. </t>
  </si>
  <si>
    <t>3 дні вдома</t>
  </si>
  <si>
    <t>інтерстиційні зміни більше виражені в базальних правих та передніх зонах</t>
  </si>
  <si>
    <t>Хмараа Катерина Миколаївна</t>
  </si>
  <si>
    <t>подруга Ольга 0996450114</t>
  </si>
  <si>
    <t>Прогресуюча легенева недос. Набряк легень. ДВЗ синд.</t>
  </si>
  <si>
    <t>значні інтерстиц зміни в передніх зонах,помірні в зад-латеральних</t>
  </si>
  <si>
    <t xml:space="preserve">0.10 </t>
  </si>
  <si>
    <t>Дзюбаа Дарина Сергіївна</t>
  </si>
  <si>
    <t>дочка Ганна 0954851481</t>
  </si>
  <si>
    <t>Прогресуюча серц-леген недос. Токсико-бактер шок. Набряк легень. ДВЗ-синд</t>
  </si>
  <si>
    <t xml:space="preserve">ІХС ДК ГЛШ ст2 СН ІІА </t>
  </si>
  <si>
    <t>геморагічний інсульт в 2017</t>
  </si>
  <si>
    <t>Гамалійа Надія Богданівна</t>
  </si>
  <si>
    <t>дочка Ганна 0958195961</t>
  </si>
  <si>
    <t>Прогресуюча серц-леген недос. Вогнищева емфізема легень. Набряк легень. Мускатна печінка</t>
  </si>
  <si>
    <t>ІХС ДК ГХ Іі СН Ііа Емфізема легень Хрон бронхіт</t>
  </si>
  <si>
    <t>значні інтерстиц зміни в базально-латеральних синусах</t>
  </si>
  <si>
    <t>Батюка Валентина Петрівна</t>
  </si>
  <si>
    <t>дочка Дарина 0505753921</t>
  </si>
  <si>
    <t>Бронхіальна астма. Емфізема легень. Дифузний пневмосклероз</t>
  </si>
  <si>
    <t>значні інтерстиційні зміни в зад-базальних відділах</t>
  </si>
  <si>
    <t>полімедикаментозна алергія</t>
  </si>
  <si>
    <t>Ковалик олег Олександрович</t>
  </si>
  <si>
    <t>дружина Оксана 0990499531</t>
  </si>
  <si>
    <t>ІХС ДК ГХст2.Атеросклероз аорти. Первинно зморщені нирки</t>
  </si>
  <si>
    <t>4 днів вдома</t>
  </si>
  <si>
    <t>ЦД вперше виявлений</t>
  </si>
  <si>
    <t>Сорочан Ігор Володимирович</t>
  </si>
  <si>
    <t>дружина Христина 0965424744</t>
  </si>
  <si>
    <t>Хронічний холецисто-панкреатит</t>
  </si>
  <si>
    <t>помірні інтерстиційні зміни, дифузний тип</t>
  </si>
  <si>
    <t>Багрій Микола Олександрович</t>
  </si>
  <si>
    <t>син Василь 0992528456</t>
  </si>
  <si>
    <t>ІХС ДК СН ІІа Атеросклероз аорти та вінцевих судин.  Кардіомегалія</t>
  </si>
  <si>
    <t>4дні вдома</t>
  </si>
  <si>
    <t>даних немає</t>
  </si>
  <si>
    <t>Марчука Марія Григорівна</t>
  </si>
  <si>
    <t>син Юрій 0506942669</t>
  </si>
  <si>
    <t>ІХС ДК СН ІІа Атеросклероз аорти та вінцевих судин.   Рак лівої молочної залози та сечового міхура</t>
  </si>
  <si>
    <t xml:space="preserve">2дні вдома </t>
  </si>
  <si>
    <t xml:space="preserve">даних немає </t>
  </si>
  <si>
    <t>Жмуркоа Оксана Павлівна</t>
  </si>
  <si>
    <t>дружинаРуслана 0990747776</t>
  </si>
  <si>
    <t>Тромбоз дрібних гілок легенової артерії. Набряк легень</t>
  </si>
  <si>
    <t xml:space="preserve">Анемія хронічного захворювання важкого ступеня </t>
  </si>
  <si>
    <t>2дні вдома</t>
  </si>
  <si>
    <t>3днів стац</t>
  </si>
  <si>
    <t>Шлунково-кишкові кровотечі</t>
  </si>
  <si>
    <t xml:space="preserve">Тимківа Юлія Олегівна </t>
  </si>
  <si>
    <t>невістка Олена 186134069</t>
  </si>
  <si>
    <t>Тромбоз дрібних гілок легенової артерії. Набряк легень.</t>
  </si>
  <si>
    <t xml:space="preserve">значні інтерстиційні зміни в зад-базальних відділах.Альвеоляриний синдром </t>
  </si>
  <si>
    <t xml:space="preserve">Яremчука Наталія Володимирівна </t>
  </si>
  <si>
    <t>дочка Лариса 0997567817</t>
  </si>
  <si>
    <t xml:space="preserve">7днів вдома </t>
  </si>
  <si>
    <t>200/150</t>
  </si>
  <si>
    <t>120/110</t>
  </si>
  <si>
    <t>qwe</t>
  </si>
  <si>
    <t>123.4</t>
  </si>
  <si>
    <t>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</si>
</sst>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₴&quot;_-;\-* #,##0.00\ &quot;₴&quot;_-;_-* &quot;-&quot;??\ &quot;₴&quot;_-;_-@_-"/>
    <numFmt numFmtId="164" formatCode="_-* #,##0.00\ &quot;UAH&quot;_-;\-* #,##0.00\ &quot;UAH&quot;_-;_-* &quot;-&quot;??\ &quot;UAH&quot;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30">
    <xf numFmtId="0" fontId="0" fillId="0" borderId="0" xfId="0"/>
    <xf numFmtId="16" fontId="0" fillId="0" borderId="0" xfId="0" applyNumberFormat="1"/>
    <xf numFmtId="14" fontId="0" fillId="0" borderId="0" xfId="0" applyNumberFormat="1"/>
    <xf numFmtId="0" fontId="1" fillId="0" borderId="0" xfId="0" applyFont="1"/>
    <xf numFmtId="9" fontId="0" fillId="0" borderId="0" xfId="0" applyNumberFormat="1"/>
    <xf numFmtId="0" fontId="0" fillId="2" borderId="0" xfId="0" applyFill="1"/>
    <xf numFmtId="14" fontId="0" fillId="2" borderId="0" xfId="0" applyNumberFormat="1" applyFill="1"/>
    <xf numFmtId="9" fontId="0" fillId="2" borderId="0" xfId="0" applyNumberFormat="1" applyFill="1"/>
    <xf numFmtId="16" fontId="0" fillId="2" borderId="0" xfId="0" applyNumberFormat="1" applyFill="1"/>
    <xf numFmtId="0" fontId="2" fillId="2" borderId="0" xfId="0" applyFont="1" applyFill="1"/>
    <xf numFmtId="0" fontId="0" fillId="3" borderId="0" xfId="0" applyFill="1"/>
    <xf numFmtId="2" fontId="0" fillId="2" borderId="0" xfId="0" applyNumberFormat="1" applyFill="1"/>
    <xf numFmtId="0" fontId="0" fillId="4" borderId="0" xfId="0" applyFill="1"/>
    <xf numFmtId="9" fontId="0" fillId="4" borderId="0" xfId="0" applyNumberFormat="1" applyFill="1"/>
    <xf numFmtId="16" fontId="0" fillId="4" borderId="0" xfId="0" applyNumberFormat="1" applyFill="1"/>
    <xf numFmtId="14" fontId="0" fillId="4" borderId="0" xfId="0" applyNumberFormat="1" applyFill="1"/>
    <xf numFmtId="0" fontId="2" fillId="4" borderId="0" xfId="0" applyFont="1" applyFill="1"/>
    <xf numFmtId="17" fontId="0" fillId="4" borderId="0" xfId="0" applyNumberFormat="1" applyFill="1"/>
    <xf numFmtId="12" fontId="0" fillId="0" borderId="0" xfId="0" applyNumberFormat="1"/>
    <xf numFmtId="0" fontId="0" fillId="0" borderId="0" xfId="0" quotePrefix="1"/>
    <xf numFmtId="9" fontId="0" fillId="0" borderId="0" xfId="2" applyFont="1"/>
    <xf numFmtId="164" fontId="0" fillId="0" borderId="0" xfId="1" applyNumberFormat="1" applyFont="1"/>
    <xf numFmtId="0" fontId="1" fillId="5" borderId="0" xfId="0" applyFont="1" applyFill="1"/>
    <xf numFmtId="0" fontId="0" fillId="5" borderId="0" xfId="0" applyFill="1"/>
    <xf numFmtId="9" fontId="0" fillId="5" borderId="0" xfId="0" applyNumberFormat="1" applyFill="1"/>
    <xf numFmtId="14" fontId="0" fillId="5" borderId="0" xfId="0" applyNumberFormat="1" applyFill="1"/>
    <xf numFmtId="16" fontId="0" fillId="5" borderId="0" xfId="0" applyNumberFormat="1" applyFill="1"/>
    <xf numFmtId="0" fontId="1" fillId="6" borderId="0" xfId="0" applyFont="1" applyFill="1"/>
    <xf numFmtId="0" fontId="0" fillId="6" borderId="0" xfId="0" applyFill="1"/>
    <xf numFmtId="0" fontId="2" fillId="6" borderId="0" xfId="0" applyFont="1" applyFill="1"/>
  </cellXfs>
  <cellStyles count="3">
    <cellStyle name="Відсотковий" xfId="2" builtinId="5"/>
    <cellStyle name="Грошовий" xfId="1" builtinId="4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22"/>
  <sheetViews>
    <sheetView tabSelected="1" topLeftCell="AB1" zoomScale="70" zoomScaleNormal="70" workbookViewId="0">
      <selection activeCell="AY1" sqref="AY1:AY1048576"/>
    </sheetView>
  </sheetViews>
  <sheetFormatPr defaultColWidth="8.81640625" defaultRowHeight="14.5" x14ac:dyDescent="0.35"/>
  <cols>
    <col min="1" max="1" width="13.453125" customWidth="1"/>
    <col min="2" max="2" width="9.453125" style="23" customWidth="1"/>
    <col min="3" max="3" width="30.6328125" customWidth="1"/>
    <col min="5" max="5" width="8.81640625" style="23"/>
    <col min="6" max="6" width="38.81640625" customWidth="1"/>
    <col min="7" max="7" width="28.81640625" customWidth="1"/>
    <col min="8" max="8" width="9.453125" customWidth="1"/>
    <col min="10" max="10" width="48.81640625" customWidth="1"/>
    <col min="11" max="11" width="69.6328125" customWidth="1"/>
    <col min="13" max="13" width="10.6328125" style="23" customWidth="1"/>
    <col min="14" max="14" width="14.453125" customWidth="1"/>
    <col min="15" max="15" width="12.1796875" style="23" customWidth="1"/>
    <col min="16" max="16" width="11.6328125" customWidth="1"/>
    <col min="17" max="17" width="10.453125" customWidth="1"/>
    <col min="18" max="18" width="19.453125" customWidth="1"/>
    <col min="19" max="19" width="11.6328125" customWidth="1"/>
    <col min="20" max="20" width="10.1796875" customWidth="1"/>
    <col min="21" max="21" width="10.1796875" bestFit="1" customWidth="1"/>
    <col min="22" max="22" width="12.81640625" style="23" customWidth="1"/>
    <col min="23" max="23" width="12.453125" customWidth="1"/>
    <col min="24" max="24" width="11.6328125" customWidth="1"/>
    <col min="25" max="25" width="10.1796875" bestFit="1" customWidth="1"/>
    <col min="28" max="28" width="16.81640625" customWidth="1"/>
    <col min="29" max="29" width="63.81640625" customWidth="1"/>
    <col min="30" max="30" width="8.81640625" style="28"/>
    <col min="43" max="43" width="8.81640625" style="23"/>
    <col min="46" max="46" width="8.81640625" style="23"/>
    <col min="50" max="50" width="14.1796875" customWidth="1"/>
    <col min="51" max="51" width="12.81640625" style="28" customWidth="1"/>
    <col min="52" max="52" width="12.1796875" customWidth="1"/>
    <col min="53" max="53" width="9.1796875" customWidth="1"/>
    <col min="54" max="54" width="9.36328125" customWidth="1"/>
    <col min="55" max="55" width="8.81640625" style="23"/>
    <col min="57" max="57" width="9.453125" customWidth="1"/>
    <col min="77" max="77" width="49.81640625" customWidth="1"/>
  </cols>
  <sheetData>
    <row r="1" spans="1:77" x14ac:dyDescent="0.35">
      <c r="A1" t="s">
        <v>0</v>
      </c>
      <c r="B1" s="22" t="s">
        <v>1</v>
      </c>
      <c r="C1" s="3" t="s">
        <v>2</v>
      </c>
      <c r="D1" s="3" t="s">
        <v>3</v>
      </c>
      <c r="E1" s="2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2" t="s">
        <v>12</v>
      </c>
      <c r="N1" s="3" t="s">
        <v>13</v>
      </c>
      <c r="O1" s="2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27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22" t="s">
        <v>42</v>
      </c>
      <c r="AR1" s="3" t="s">
        <v>43</v>
      </c>
      <c r="AS1" s="3" t="s">
        <v>44</v>
      </c>
      <c r="AT1" s="22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27" t="s">
        <v>50</v>
      </c>
      <c r="AZ1" s="3" t="s">
        <v>51</v>
      </c>
      <c r="BA1" s="3" t="s">
        <v>52</v>
      </c>
      <c r="BB1" s="3" t="s">
        <v>53</v>
      </c>
      <c r="BC1" s="22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</row>
    <row r="2" spans="1:77" s="5" customFormat="1" x14ac:dyDescent="0.35">
      <c r="A2" s="5">
        <v>1</v>
      </c>
      <c r="B2" s="23" t="s">
        <v>77</v>
      </c>
      <c r="C2" s="5" t="s">
        <v>78</v>
      </c>
      <c r="D2" s="5">
        <v>55</v>
      </c>
      <c r="E2" s="23" t="s">
        <v>79</v>
      </c>
      <c r="F2" s="5" t="s">
        <v>80</v>
      </c>
      <c r="G2" s="5" t="s">
        <v>81</v>
      </c>
      <c r="H2" s="5" t="s">
        <v>82</v>
      </c>
      <c r="I2" s="8" t="s">
        <v>83</v>
      </c>
      <c r="J2" s="5" t="s">
        <v>84</v>
      </c>
      <c r="K2" s="5" t="s">
        <v>85</v>
      </c>
      <c r="L2" s="5" t="s">
        <v>86</v>
      </c>
      <c r="M2" s="12" t="s">
        <v>87</v>
      </c>
      <c r="N2" s="5" t="s">
        <v>88</v>
      </c>
      <c r="O2" s="23">
        <v>90</v>
      </c>
      <c r="P2" s="5">
        <v>98</v>
      </c>
      <c r="R2" s="5">
        <v>5</v>
      </c>
      <c r="S2" s="6">
        <v>44616</v>
      </c>
      <c r="T2" s="6">
        <v>44630</v>
      </c>
      <c r="U2" s="5">
        <v>14</v>
      </c>
      <c r="V2" s="25">
        <v>44631</v>
      </c>
      <c r="W2" s="5" t="s">
        <v>89</v>
      </c>
      <c r="X2" s="5">
        <v>3</v>
      </c>
      <c r="Y2" s="15">
        <v>11</v>
      </c>
      <c r="Z2" s="5" t="s">
        <v>90</v>
      </c>
      <c r="AA2" s="5" t="s">
        <v>91</v>
      </c>
      <c r="AB2" s="5" t="s">
        <v>92</v>
      </c>
      <c r="AC2" s="5" t="s">
        <v>93</v>
      </c>
      <c r="AD2" s="28">
        <v>157</v>
      </c>
      <c r="AE2" s="5">
        <v>144</v>
      </c>
      <c r="AF2" s="5">
        <v>5.0999999999999996</v>
      </c>
      <c r="AG2" s="5">
        <v>11</v>
      </c>
      <c r="AH2" s="5">
        <v>4</v>
      </c>
      <c r="AI2" s="5">
        <v>13</v>
      </c>
      <c r="AJ2" s="5">
        <v>58</v>
      </c>
      <c r="AK2" s="5">
        <v>74</v>
      </c>
      <c r="AL2" s="5">
        <v>30</v>
      </c>
      <c r="AM2" s="5">
        <v>8</v>
      </c>
      <c r="AN2" s="5">
        <v>13</v>
      </c>
      <c r="AO2" s="5">
        <v>23</v>
      </c>
      <c r="AP2" s="5">
        <v>32</v>
      </c>
      <c r="AQ2" s="23">
        <v>6</v>
      </c>
      <c r="AR2" s="5">
        <v>40.799999999999997</v>
      </c>
      <c r="AT2" s="23"/>
      <c r="AX2" s="5">
        <v>0.126</v>
      </c>
      <c r="AY2" s="28">
        <v>48</v>
      </c>
      <c r="AZ2" s="5">
        <v>45</v>
      </c>
      <c r="BA2" s="5">
        <v>26.4</v>
      </c>
      <c r="BB2" s="5">
        <v>14.3</v>
      </c>
      <c r="BC2" s="23">
        <v>4</v>
      </c>
      <c r="BD2" s="5">
        <v>2.2999999999999998</v>
      </c>
      <c r="BE2" s="5">
        <v>3.1</v>
      </c>
      <c r="BF2" s="5">
        <v>239</v>
      </c>
      <c r="BG2" s="5">
        <v>70</v>
      </c>
      <c r="BH2" s="5">
        <v>63</v>
      </c>
      <c r="BI2" s="5">
        <v>5.0999999999999996</v>
      </c>
      <c r="BJ2" s="5">
        <v>6.5</v>
      </c>
      <c r="BK2" s="5">
        <v>84</v>
      </c>
      <c r="BL2" s="5">
        <v>92</v>
      </c>
      <c r="BM2" s="5">
        <v>15.3</v>
      </c>
      <c r="BN2" s="5">
        <v>17</v>
      </c>
      <c r="BO2" s="5">
        <v>3.4</v>
      </c>
      <c r="BP2" s="5">
        <v>5.0999999999999996</v>
      </c>
      <c r="BQ2" s="5">
        <v>10.199999999999999</v>
      </c>
      <c r="BR2" s="5">
        <v>1.8</v>
      </c>
      <c r="BS2" s="5">
        <v>52.4</v>
      </c>
      <c r="BT2" s="5">
        <v>45.2</v>
      </c>
      <c r="BU2" s="5">
        <v>36.200000000000003</v>
      </c>
      <c r="BV2" s="5">
        <v>24.1</v>
      </c>
      <c r="BW2" s="5">
        <v>7.6</v>
      </c>
      <c r="BX2" s="5">
        <v>6.2</v>
      </c>
    </row>
    <row r="3" spans="1:77" x14ac:dyDescent="0.35">
      <c r="A3">
        <v>2</v>
      </c>
      <c r="B3" s="23" t="s">
        <v>94</v>
      </c>
      <c r="C3" t="s">
        <v>95</v>
      </c>
      <c r="D3">
        <v>43</v>
      </c>
      <c r="E3" s="23" t="s">
        <v>79</v>
      </c>
      <c r="F3" t="s">
        <v>96</v>
      </c>
      <c r="G3" t="s">
        <v>97</v>
      </c>
      <c r="H3" t="s">
        <v>82</v>
      </c>
      <c r="I3" s="1" t="s">
        <v>98</v>
      </c>
      <c r="K3" t="s">
        <v>99</v>
      </c>
      <c r="L3" t="s">
        <v>100</v>
      </c>
      <c r="M3" s="23" t="s">
        <v>101</v>
      </c>
      <c r="N3" t="s">
        <v>102</v>
      </c>
      <c r="O3" s="23">
        <v>83</v>
      </c>
      <c r="P3">
        <v>95</v>
      </c>
      <c r="Q3">
        <v>95</v>
      </c>
      <c r="R3">
        <v>12</v>
      </c>
      <c r="S3" s="2">
        <v>44614</v>
      </c>
      <c r="T3" s="2">
        <v>44636</v>
      </c>
      <c r="U3">
        <v>22</v>
      </c>
      <c r="W3" t="s">
        <v>103</v>
      </c>
      <c r="X3">
        <v>3</v>
      </c>
      <c r="Y3">
        <v>19</v>
      </c>
      <c r="Z3" t="s">
        <v>104</v>
      </c>
      <c r="AA3" t="s">
        <v>104</v>
      </c>
      <c r="AB3" t="s">
        <v>105</v>
      </c>
      <c r="AC3" t="s">
        <v>106</v>
      </c>
      <c r="AD3" s="28">
        <v>145</v>
      </c>
      <c r="AE3">
        <v>137</v>
      </c>
      <c r="AF3">
        <v>12.1</v>
      </c>
      <c r="AG3">
        <v>19.100000000000001</v>
      </c>
      <c r="AH3">
        <v>9</v>
      </c>
      <c r="AI3">
        <v>8</v>
      </c>
      <c r="AJ3">
        <v>84</v>
      </c>
      <c r="AK3">
        <v>79</v>
      </c>
      <c r="AL3">
        <v>9.8000000000000007</v>
      </c>
      <c r="AM3">
        <v>11</v>
      </c>
      <c r="AN3">
        <v>28</v>
      </c>
      <c r="AO3">
        <v>5</v>
      </c>
      <c r="AP3">
        <v>151.16</v>
      </c>
      <c r="AQ3" s="23">
        <v>1</v>
      </c>
      <c r="AR3">
        <v>98.43</v>
      </c>
      <c r="AS3">
        <v>23.5</v>
      </c>
      <c r="AT3" s="23">
        <v>839</v>
      </c>
      <c r="AU3">
        <v>3316</v>
      </c>
      <c r="AV3">
        <v>744</v>
      </c>
      <c r="AW3">
        <v>1265</v>
      </c>
      <c r="AY3" s="28">
        <v>42.2</v>
      </c>
      <c r="AZ3">
        <v>57</v>
      </c>
      <c r="BA3">
        <v>18</v>
      </c>
      <c r="BB3">
        <v>11.1</v>
      </c>
      <c r="BC3" s="23">
        <v>5</v>
      </c>
      <c r="BD3">
        <v>3.4</v>
      </c>
      <c r="BE3">
        <v>1.22</v>
      </c>
      <c r="BF3">
        <v>1.08</v>
      </c>
      <c r="BG3">
        <v>61.8</v>
      </c>
      <c r="BH3">
        <v>63</v>
      </c>
      <c r="BI3">
        <v>6.6</v>
      </c>
      <c r="BJ3">
        <v>4</v>
      </c>
      <c r="BK3">
        <v>75.400000000000006</v>
      </c>
      <c r="BL3">
        <v>73</v>
      </c>
      <c r="BM3">
        <v>61.8</v>
      </c>
      <c r="BN3">
        <v>13.6</v>
      </c>
      <c r="BO3">
        <v>2.8</v>
      </c>
      <c r="BP3">
        <v>3.4</v>
      </c>
      <c r="BQ3">
        <v>1.8</v>
      </c>
      <c r="BR3">
        <v>10.199999999999999</v>
      </c>
      <c r="BS3">
        <v>22</v>
      </c>
      <c r="BT3">
        <v>82.4</v>
      </c>
      <c r="BU3">
        <v>44</v>
      </c>
      <c r="BV3">
        <v>66.400000000000006</v>
      </c>
      <c r="BW3">
        <v>19.899999999999999</v>
      </c>
      <c r="BX3">
        <v>19.3</v>
      </c>
      <c r="BY3" t="s">
        <v>107</v>
      </c>
    </row>
    <row r="4" spans="1:77" x14ac:dyDescent="0.35">
      <c r="A4">
        <v>2</v>
      </c>
      <c r="B4" s="23" t="s">
        <v>108</v>
      </c>
      <c r="C4" t="s">
        <v>109</v>
      </c>
      <c r="D4">
        <v>54</v>
      </c>
      <c r="E4" s="23" t="s">
        <v>110</v>
      </c>
      <c r="F4" t="s">
        <v>111</v>
      </c>
      <c r="G4" t="s">
        <v>112</v>
      </c>
      <c r="H4" t="s">
        <v>82</v>
      </c>
      <c r="I4" t="s">
        <v>113</v>
      </c>
      <c r="K4" t="s">
        <v>114</v>
      </c>
      <c r="L4" t="s">
        <v>115</v>
      </c>
      <c r="M4" s="23" t="s">
        <v>116</v>
      </c>
      <c r="N4" t="s">
        <v>117</v>
      </c>
      <c r="O4" s="23">
        <v>78</v>
      </c>
      <c r="P4">
        <v>90</v>
      </c>
      <c r="Q4">
        <v>93</v>
      </c>
      <c r="R4">
        <v>15</v>
      </c>
      <c r="S4" s="2">
        <v>44560</v>
      </c>
      <c r="T4" s="2">
        <v>44579</v>
      </c>
      <c r="U4">
        <v>20</v>
      </c>
      <c r="W4" t="s">
        <v>118</v>
      </c>
      <c r="X4">
        <v>3</v>
      </c>
      <c r="Y4">
        <v>17</v>
      </c>
      <c r="Z4" t="s">
        <v>91</v>
      </c>
      <c r="AA4" t="s">
        <v>119</v>
      </c>
      <c r="AB4" t="s">
        <v>92</v>
      </c>
      <c r="AC4" t="s">
        <v>120</v>
      </c>
      <c r="AD4" s="28">
        <v>137</v>
      </c>
      <c r="AE4">
        <v>105</v>
      </c>
      <c r="AF4">
        <v>10.5</v>
      </c>
      <c r="AG4">
        <v>16.2</v>
      </c>
      <c r="AH4">
        <v>18</v>
      </c>
      <c r="AI4">
        <v>7</v>
      </c>
      <c r="AJ4">
        <v>83</v>
      </c>
      <c r="AK4">
        <v>89</v>
      </c>
      <c r="AL4">
        <v>12</v>
      </c>
      <c r="AM4">
        <v>3</v>
      </c>
      <c r="AN4">
        <v>20</v>
      </c>
      <c r="AO4">
        <v>2</v>
      </c>
      <c r="AP4">
        <v>3.63</v>
      </c>
      <c r="AQ4" s="23">
        <v>6</v>
      </c>
      <c r="AY4" s="28">
        <v>40</v>
      </c>
      <c r="AZ4">
        <v>37</v>
      </c>
      <c r="BA4">
        <v>10.6</v>
      </c>
      <c r="BB4">
        <v>12.3</v>
      </c>
      <c r="BC4" s="23">
        <v>5.29</v>
      </c>
      <c r="BD4">
        <v>3.27</v>
      </c>
      <c r="BE4">
        <v>1.03</v>
      </c>
      <c r="BF4">
        <v>1.18</v>
      </c>
      <c r="BG4">
        <v>80.5</v>
      </c>
      <c r="BH4">
        <v>62.7</v>
      </c>
      <c r="BI4">
        <v>7</v>
      </c>
      <c r="BJ4">
        <v>10.1</v>
      </c>
      <c r="BK4">
        <v>80.7</v>
      </c>
      <c r="BL4">
        <v>117.2</v>
      </c>
      <c r="BM4">
        <v>11.7</v>
      </c>
      <c r="BN4">
        <v>18.7</v>
      </c>
      <c r="BO4">
        <v>2.8</v>
      </c>
      <c r="BP4">
        <v>6.8</v>
      </c>
      <c r="BR4">
        <v>11.9</v>
      </c>
      <c r="BS4">
        <v>21.9</v>
      </c>
      <c r="BT4">
        <v>37.4</v>
      </c>
      <c r="BU4">
        <v>28.4</v>
      </c>
      <c r="BV4">
        <v>24.2</v>
      </c>
      <c r="BW4">
        <v>6.2</v>
      </c>
      <c r="BX4">
        <v>7.7</v>
      </c>
      <c r="BY4" t="s">
        <v>121</v>
      </c>
    </row>
    <row r="5" spans="1:77" x14ac:dyDescent="0.35">
      <c r="A5">
        <v>2</v>
      </c>
      <c r="B5" s="23" t="s">
        <v>122</v>
      </c>
      <c r="C5" t="s">
        <v>123</v>
      </c>
      <c r="D5">
        <v>68</v>
      </c>
      <c r="E5" s="23" t="s">
        <v>110</v>
      </c>
      <c r="F5" t="s">
        <v>124</v>
      </c>
      <c r="G5" t="s">
        <v>81</v>
      </c>
      <c r="H5" t="s">
        <v>82</v>
      </c>
      <c r="I5" t="s">
        <v>83</v>
      </c>
      <c r="K5" t="s">
        <v>125</v>
      </c>
      <c r="L5" s="4">
        <v>0.8</v>
      </c>
      <c r="M5" s="23" t="s">
        <v>116</v>
      </c>
      <c r="O5" s="23">
        <v>82</v>
      </c>
      <c r="P5">
        <v>96</v>
      </c>
      <c r="Q5">
        <v>93</v>
      </c>
      <c r="R5">
        <v>15</v>
      </c>
      <c r="S5" s="2">
        <v>44554</v>
      </c>
      <c r="T5" s="2">
        <v>44574</v>
      </c>
      <c r="U5">
        <v>20</v>
      </c>
      <c r="W5" t="s">
        <v>126</v>
      </c>
      <c r="X5">
        <v>6</v>
      </c>
      <c r="Z5" t="s">
        <v>127</v>
      </c>
      <c r="AA5" t="s">
        <v>91</v>
      </c>
      <c r="AB5" s="12" t="s">
        <v>128</v>
      </c>
      <c r="AC5" t="s">
        <v>129</v>
      </c>
      <c r="AD5" s="28">
        <v>87</v>
      </c>
      <c r="AE5">
        <v>116</v>
      </c>
      <c r="AF5">
        <v>6.3</v>
      </c>
      <c r="AG5">
        <v>5.6</v>
      </c>
      <c r="AH5">
        <v>6</v>
      </c>
      <c r="AI5">
        <v>9</v>
      </c>
      <c r="AJ5">
        <v>85</v>
      </c>
      <c r="AK5">
        <v>64</v>
      </c>
      <c r="AL5">
        <v>8</v>
      </c>
      <c r="AM5">
        <v>25</v>
      </c>
      <c r="AN5">
        <v>37</v>
      </c>
      <c r="AO5">
        <v>43</v>
      </c>
      <c r="AP5">
        <v>9</v>
      </c>
      <c r="AQ5" s="23">
        <v>6</v>
      </c>
      <c r="AY5" s="28">
        <v>22</v>
      </c>
      <c r="AZ5">
        <v>34</v>
      </c>
      <c r="BA5">
        <v>18.3</v>
      </c>
      <c r="BB5">
        <v>11</v>
      </c>
      <c r="BC5" s="23">
        <v>2.5</v>
      </c>
      <c r="BD5">
        <v>4</v>
      </c>
      <c r="BE5">
        <v>1.69</v>
      </c>
      <c r="BF5">
        <v>1.07</v>
      </c>
      <c r="BG5">
        <v>62.6</v>
      </c>
      <c r="BH5">
        <v>63.7</v>
      </c>
      <c r="BI5">
        <v>9.5</v>
      </c>
      <c r="BJ5">
        <v>12.5</v>
      </c>
      <c r="BK5">
        <v>168.1</v>
      </c>
      <c r="BL5">
        <v>105.1</v>
      </c>
      <c r="BM5">
        <v>11.9</v>
      </c>
      <c r="BN5">
        <v>13.6</v>
      </c>
      <c r="BO5">
        <v>3.4</v>
      </c>
      <c r="BP5">
        <v>5.0999999999999996</v>
      </c>
      <c r="BQ5">
        <v>8.5</v>
      </c>
      <c r="BR5">
        <v>8.5</v>
      </c>
      <c r="BS5">
        <v>38.700000000000003</v>
      </c>
      <c r="BT5">
        <v>52.4</v>
      </c>
      <c r="BU5">
        <v>19.100000000000001</v>
      </c>
      <c r="BV5">
        <v>36.200000000000003</v>
      </c>
      <c r="BW5">
        <v>15.5</v>
      </c>
      <c r="BX5">
        <v>15.5</v>
      </c>
      <c r="BY5" t="s">
        <v>130</v>
      </c>
    </row>
    <row r="6" spans="1:77" x14ac:dyDescent="0.35">
      <c r="A6">
        <v>2</v>
      </c>
      <c r="B6" s="23" t="s">
        <v>131</v>
      </c>
      <c r="C6" t="s">
        <v>132</v>
      </c>
      <c r="D6">
        <v>65</v>
      </c>
      <c r="E6" s="23" t="s">
        <v>110</v>
      </c>
      <c r="F6" t="s">
        <v>133</v>
      </c>
      <c r="G6" t="s">
        <v>81</v>
      </c>
      <c r="H6" t="s">
        <v>82</v>
      </c>
      <c r="I6" t="s">
        <v>98</v>
      </c>
      <c r="K6" t="s">
        <v>134</v>
      </c>
      <c r="L6" s="20"/>
      <c r="O6" s="23">
        <v>80</v>
      </c>
      <c r="P6">
        <v>97</v>
      </c>
      <c r="Q6">
        <v>93</v>
      </c>
      <c r="R6">
        <v>7</v>
      </c>
      <c r="S6" s="2">
        <v>44604</v>
      </c>
      <c r="T6" s="2">
        <v>44631</v>
      </c>
      <c r="U6">
        <v>27</v>
      </c>
      <c r="X6" t="s">
        <v>103</v>
      </c>
      <c r="Y6">
        <v>4</v>
      </c>
      <c r="Z6" t="s">
        <v>135</v>
      </c>
      <c r="AA6" t="s">
        <v>136</v>
      </c>
      <c r="AB6" s="12">
        <v>27</v>
      </c>
      <c r="AC6" t="s">
        <v>137</v>
      </c>
      <c r="AD6" s="28">
        <v>126</v>
      </c>
      <c r="AE6">
        <v>124</v>
      </c>
      <c r="AF6">
        <v>10.7</v>
      </c>
      <c r="AG6">
        <v>6.7</v>
      </c>
      <c r="AH6">
        <v>15</v>
      </c>
      <c r="AI6">
        <v>8</v>
      </c>
      <c r="AJ6">
        <v>77</v>
      </c>
      <c r="AK6">
        <v>82</v>
      </c>
      <c r="AL6">
        <v>5</v>
      </c>
      <c r="AM6">
        <v>6</v>
      </c>
      <c r="AN6">
        <v>20</v>
      </c>
      <c r="AO6">
        <v>48</v>
      </c>
      <c r="AQ6" s="23">
        <v>9</v>
      </c>
      <c r="AY6" s="28">
        <v>40</v>
      </c>
      <c r="AZ6">
        <v>48</v>
      </c>
      <c r="BA6">
        <v>11.8</v>
      </c>
      <c r="BB6">
        <v>22.6</v>
      </c>
      <c r="BC6" s="23">
        <v>4.29</v>
      </c>
      <c r="BD6">
        <v>3.37</v>
      </c>
      <c r="BE6">
        <v>1.1499999999999999</v>
      </c>
      <c r="BF6">
        <v>2.1800000000000002</v>
      </c>
      <c r="BG6">
        <v>72</v>
      </c>
      <c r="BH6">
        <v>69</v>
      </c>
      <c r="BI6">
        <v>5.2</v>
      </c>
      <c r="BJ6">
        <v>7.4</v>
      </c>
      <c r="BK6">
        <v>76</v>
      </c>
      <c r="BL6">
        <v>101</v>
      </c>
      <c r="BM6">
        <v>13.6</v>
      </c>
      <c r="BN6">
        <v>15.3</v>
      </c>
      <c r="BO6">
        <v>3.4</v>
      </c>
      <c r="BP6">
        <v>5.0999999999999996</v>
      </c>
      <c r="BQ6">
        <v>10.199999999999999</v>
      </c>
      <c r="BR6">
        <v>10.199999999999999</v>
      </c>
      <c r="BS6">
        <v>97.7</v>
      </c>
      <c r="BT6">
        <v>60.3</v>
      </c>
      <c r="BU6">
        <v>42.2</v>
      </c>
      <c r="BV6">
        <v>51.4</v>
      </c>
      <c r="BW6">
        <v>4.4000000000000004</v>
      </c>
      <c r="BX6">
        <v>6.9</v>
      </c>
    </row>
    <row r="7" spans="1:77" s="5" customFormat="1" x14ac:dyDescent="0.35">
      <c r="A7" s="5">
        <v>1</v>
      </c>
      <c r="B7" s="23" t="s">
        <v>138</v>
      </c>
      <c r="C7" s="5" t="s">
        <v>139</v>
      </c>
      <c r="D7" s="5">
        <v>66</v>
      </c>
      <c r="E7" s="23" t="s">
        <v>110</v>
      </c>
      <c r="F7" s="5" t="s">
        <v>140</v>
      </c>
      <c r="G7" s="5" t="s">
        <v>81</v>
      </c>
      <c r="H7" s="5" t="s">
        <v>82</v>
      </c>
      <c r="I7" s="5" t="s">
        <v>98</v>
      </c>
      <c r="J7" s="5" t="s">
        <v>141</v>
      </c>
      <c r="K7" s="5" t="s">
        <v>142</v>
      </c>
      <c r="L7" s="5" t="s">
        <v>143</v>
      </c>
      <c r="M7" s="23" t="s">
        <v>101</v>
      </c>
      <c r="N7" s="5" t="s">
        <v>144</v>
      </c>
      <c r="O7" s="23">
        <v>72</v>
      </c>
      <c r="P7" s="5">
        <v>88</v>
      </c>
      <c r="R7" s="12" t="s">
        <v>145</v>
      </c>
      <c r="S7" s="6">
        <v>44545</v>
      </c>
      <c r="T7" s="6">
        <v>44556</v>
      </c>
      <c r="U7" s="12" t="s">
        <v>146</v>
      </c>
      <c r="V7" s="25">
        <v>44556</v>
      </c>
      <c r="Y7" s="5">
        <v>9</v>
      </c>
      <c r="Z7" s="5" t="s">
        <v>119</v>
      </c>
      <c r="AA7" s="5" t="s">
        <v>147</v>
      </c>
      <c r="AB7" s="5">
        <v>9</v>
      </c>
      <c r="AC7" s="5" t="s">
        <v>148</v>
      </c>
      <c r="AD7" s="28">
        <v>134</v>
      </c>
      <c r="AE7" s="5">
        <v>120</v>
      </c>
      <c r="AF7" s="5">
        <v>15.1</v>
      </c>
      <c r="AG7" s="5">
        <v>13</v>
      </c>
      <c r="AH7" s="5">
        <v>16</v>
      </c>
      <c r="AI7" s="5">
        <v>14</v>
      </c>
      <c r="AJ7" s="5">
        <v>78</v>
      </c>
      <c r="AK7" s="5">
        <v>75</v>
      </c>
      <c r="AL7" s="5">
        <v>6</v>
      </c>
      <c r="AM7" s="5">
        <v>9</v>
      </c>
      <c r="AN7" s="5">
        <v>49</v>
      </c>
      <c r="AO7" s="5">
        <v>73</v>
      </c>
      <c r="AP7" s="5">
        <v>12</v>
      </c>
      <c r="AQ7" s="23">
        <v>6</v>
      </c>
      <c r="AT7" s="23"/>
      <c r="AU7" s="5">
        <v>8000</v>
      </c>
      <c r="AY7" s="28">
        <v>39</v>
      </c>
      <c r="AZ7" s="5">
        <v>36</v>
      </c>
      <c r="BA7" s="5">
        <v>9.1</v>
      </c>
      <c r="BB7" s="5">
        <v>12</v>
      </c>
      <c r="BC7" s="23">
        <v>5</v>
      </c>
      <c r="BD7" s="5">
        <v>3</v>
      </c>
      <c r="BE7" s="5">
        <v>0.9</v>
      </c>
      <c r="BF7" s="17">
        <v>42005</v>
      </c>
      <c r="BG7" s="5">
        <v>73</v>
      </c>
      <c r="BH7" s="5">
        <v>64.599999999999994</v>
      </c>
      <c r="BI7" s="5">
        <v>14</v>
      </c>
      <c r="BJ7" s="5">
        <v>21.4</v>
      </c>
      <c r="BK7" s="5">
        <v>130</v>
      </c>
      <c r="BL7" s="5">
        <v>172</v>
      </c>
      <c r="BM7" s="5">
        <v>11.9</v>
      </c>
      <c r="BN7" s="5">
        <v>15.3</v>
      </c>
      <c r="BO7" s="5">
        <v>3.4</v>
      </c>
      <c r="BP7" s="12" t="s">
        <v>149</v>
      </c>
      <c r="BQ7" s="5">
        <v>8.5</v>
      </c>
      <c r="BR7" s="5">
        <v>10.199999999999999</v>
      </c>
      <c r="BS7" s="5">
        <v>112</v>
      </c>
      <c r="BT7" s="5">
        <v>43</v>
      </c>
      <c r="BU7" s="5">
        <v>85.1</v>
      </c>
      <c r="BV7" s="5">
        <v>24</v>
      </c>
      <c r="BW7" s="5">
        <v>33.799999999999997</v>
      </c>
      <c r="BX7" s="5">
        <v>22.6</v>
      </c>
    </row>
    <row r="8" spans="1:77" x14ac:dyDescent="0.35">
      <c r="A8">
        <v>2</v>
      </c>
      <c r="B8" s="23" t="s">
        <v>150</v>
      </c>
      <c r="C8" t="s">
        <v>151</v>
      </c>
      <c r="D8">
        <v>59</v>
      </c>
      <c r="E8" s="23" t="s">
        <v>79</v>
      </c>
      <c r="F8" t="s">
        <v>152</v>
      </c>
      <c r="G8" t="s">
        <v>81</v>
      </c>
      <c r="H8" t="s">
        <v>82</v>
      </c>
      <c r="I8" t="s">
        <v>98</v>
      </c>
      <c r="K8" t="s">
        <v>153</v>
      </c>
      <c r="L8" t="s">
        <v>154</v>
      </c>
      <c r="M8" s="23" t="s">
        <v>82</v>
      </c>
      <c r="N8" t="s">
        <v>155</v>
      </c>
      <c r="O8" s="23">
        <v>89</v>
      </c>
      <c r="P8">
        <v>96</v>
      </c>
      <c r="Q8">
        <v>96</v>
      </c>
      <c r="R8">
        <v>7</v>
      </c>
      <c r="S8" s="2">
        <v>44674</v>
      </c>
      <c r="T8" s="2">
        <v>44692</v>
      </c>
      <c r="U8">
        <v>18</v>
      </c>
      <c r="W8" t="s">
        <v>156</v>
      </c>
      <c r="Y8">
        <v>4</v>
      </c>
      <c r="Z8" t="s">
        <v>104</v>
      </c>
      <c r="AA8" t="s">
        <v>104</v>
      </c>
      <c r="AB8">
        <v>9</v>
      </c>
      <c r="AC8" t="s">
        <v>157</v>
      </c>
      <c r="AD8" s="28">
        <v>151</v>
      </c>
      <c r="AE8">
        <v>151</v>
      </c>
      <c r="AF8">
        <v>14.3</v>
      </c>
      <c r="AG8">
        <v>15.5</v>
      </c>
      <c r="AH8">
        <v>11</v>
      </c>
      <c r="AI8">
        <v>8</v>
      </c>
      <c r="AJ8">
        <v>73</v>
      </c>
      <c r="AK8">
        <v>77</v>
      </c>
      <c r="AL8">
        <v>11</v>
      </c>
      <c r="AM8">
        <v>13</v>
      </c>
      <c r="AN8">
        <v>45</v>
      </c>
      <c r="AO8">
        <v>20</v>
      </c>
      <c r="AP8">
        <v>6</v>
      </c>
      <c r="AQ8" s="23">
        <v>6</v>
      </c>
      <c r="AU8">
        <v>183</v>
      </c>
      <c r="AY8" s="28">
        <v>44.9</v>
      </c>
      <c r="AZ8">
        <v>44.5</v>
      </c>
      <c r="BA8">
        <v>11.3</v>
      </c>
      <c r="BB8">
        <v>11.2</v>
      </c>
      <c r="BC8" s="23">
        <v>3.24</v>
      </c>
      <c r="BD8">
        <v>3.12</v>
      </c>
      <c r="BE8">
        <v>1.0900000000000001</v>
      </c>
      <c r="BF8">
        <v>1.0900000000000001</v>
      </c>
      <c r="BG8">
        <v>76</v>
      </c>
      <c r="BH8">
        <v>58.1</v>
      </c>
      <c r="BI8">
        <v>5.7</v>
      </c>
      <c r="BJ8">
        <v>6.1</v>
      </c>
      <c r="BK8">
        <v>98</v>
      </c>
      <c r="BL8">
        <v>97.8</v>
      </c>
      <c r="BM8">
        <v>15.3</v>
      </c>
      <c r="BN8">
        <v>15.3</v>
      </c>
      <c r="BO8">
        <v>5.0999999999999996</v>
      </c>
      <c r="BP8">
        <v>5.0999999999999996</v>
      </c>
      <c r="BQ8">
        <v>10.199999999999999</v>
      </c>
      <c r="BR8">
        <v>10.199999999999999</v>
      </c>
      <c r="BS8">
        <v>60.4</v>
      </c>
      <c r="BT8">
        <v>85.4</v>
      </c>
      <c r="BU8">
        <v>37.4</v>
      </c>
      <c r="BV8">
        <v>48.2</v>
      </c>
      <c r="BW8">
        <v>5.9</v>
      </c>
      <c r="BX8">
        <v>12.7</v>
      </c>
      <c r="BY8" t="s">
        <v>158</v>
      </c>
    </row>
    <row r="9" spans="1:77" x14ac:dyDescent="0.35">
      <c r="A9">
        <v>2</v>
      </c>
      <c r="B9" s="23" t="s">
        <v>159</v>
      </c>
      <c r="C9" t="s">
        <v>160</v>
      </c>
      <c r="D9">
        <v>59</v>
      </c>
      <c r="E9" s="23" t="s">
        <v>110</v>
      </c>
      <c r="F9" t="s">
        <v>161</v>
      </c>
      <c r="G9" t="s">
        <v>162</v>
      </c>
      <c r="H9" t="s">
        <v>163</v>
      </c>
      <c r="I9" t="s">
        <v>164</v>
      </c>
      <c r="K9" t="s">
        <v>165</v>
      </c>
      <c r="L9" t="s">
        <v>166</v>
      </c>
      <c r="M9" s="23" t="s">
        <v>167</v>
      </c>
      <c r="N9" t="s">
        <v>168</v>
      </c>
      <c r="O9" s="23">
        <v>90</v>
      </c>
      <c r="P9">
        <v>96</v>
      </c>
      <c r="Q9">
        <v>94</v>
      </c>
      <c r="R9">
        <v>9</v>
      </c>
      <c r="S9" s="2">
        <v>44699</v>
      </c>
      <c r="T9" s="2">
        <v>44709</v>
      </c>
      <c r="U9">
        <v>10</v>
      </c>
      <c r="W9" t="s">
        <v>169</v>
      </c>
      <c r="Y9">
        <v>3</v>
      </c>
      <c r="Z9" t="s">
        <v>170</v>
      </c>
      <c r="AA9" t="s">
        <v>171</v>
      </c>
      <c r="AB9">
        <v>6</v>
      </c>
      <c r="AC9" t="s">
        <v>172</v>
      </c>
      <c r="AD9" s="28">
        <v>130</v>
      </c>
      <c r="AE9">
        <v>137</v>
      </c>
      <c r="AF9">
        <v>5.4</v>
      </c>
      <c r="AG9">
        <v>7.1</v>
      </c>
      <c r="AH9">
        <v>8</v>
      </c>
      <c r="AI9">
        <v>9</v>
      </c>
      <c r="AJ9">
        <v>71</v>
      </c>
      <c r="AK9">
        <v>47</v>
      </c>
      <c r="AL9">
        <v>17</v>
      </c>
      <c r="AM9">
        <v>35</v>
      </c>
      <c r="AN9">
        <v>14</v>
      </c>
      <c r="AO9">
        <v>8</v>
      </c>
      <c r="AP9">
        <v>18</v>
      </c>
      <c r="AQ9" s="23">
        <v>6</v>
      </c>
      <c r="AU9">
        <v>3028</v>
      </c>
      <c r="AV9">
        <v>1370</v>
      </c>
      <c r="AY9" s="28">
        <v>38</v>
      </c>
      <c r="AZ9">
        <v>42</v>
      </c>
      <c r="BA9">
        <v>9.5</v>
      </c>
      <c r="BB9">
        <v>11.2</v>
      </c>
      <c r="BC9" s="23">
        <v>5.04</v>
      </c>
      <c r="BD9">
        <v>2.4</v>
      </c>
      <c r="BE9">
        <v>0.94</v>
      </c>
      <c r="BF9">
        <v>1.0900000000000001</v>
      </c>
      <c r="BG9">
        <v>88</v>
      </c>
      <c r="BH9">
        <v>60</v>
      </c>
      <c r="BI9">
        <v>9.1</v>
      </c>
      <c r="BJ9">
        <v>7.6</v>
      </c>
      <c r="BK9">
        <v>118</v>
      </c>
      <c r="BL9">
        <v>107</v>
      </c>
      <c r="BM9">
        <v>13.6</v>
      </c>
      <c r="BN9">
        <v>15.3</v>
      </c>
      <c r="BO9">
        <v>5.0999999999999996</v>
      </c>
      <c r="BP9">
        <v>5.0999999999999996</v>
      </c>
      <c r="BQ9">
        <v>8.5</v>
      </c>
      <c r="BR9">
        <v>10.199999999999999</v>
      </c>
      <c r="BS9">
        <v>54.3</v>
      </c>
      <c r="BT9" t="s">
        <v>173</v>
      </c>
      <c r="BU9">
        <v>36.200000000000003</v>
      </c>
      <c r="BV9">
        <v>15.3</v>
      </c>
      <c r="BW9">
        <v>5.7</v>
      </c>
      <c r="BX9">
        <v>3.7</v>
      </c>
    </row>
    <row r="10" spans="1:77" x14ac:dyDescent="0.35">
      <c r="A10">
        <v>2</v>
      </c>
      <c r="B10" s="23" t="s">
        <v>174</v>
      </c>
      <c r="C10" t="s">
        <v>175</v>
      </c>
      <c r="D10">
        <v>73</v>
      </c>
      <c r="E10" s="23" t="s">
        <v>110</v>
      </c>
      <c r="F10" t="s">
        <v>176</v>
      </c>
      <c r="G10" t="s">
        <v>81</v>
      </c>
      <c r="H10" t="s">
        <v>82</v>
      </c>
      <c r="I10" t="s">
        <v>113</v>
      </c>
      <c r="K10" t="s">
        <v>177</v>
      </c>
      <c r="O10" s="23">
        <v>78</v>
      </c>
      <c r="P10">
        <v>94</v>
      </c>
      <c r="Q10">
        <v>95</v>
      </c>
      <c r="R10">
        <v>7</v>
      </c>
      <c r="S10" s="2">
        <v>44677</v>
      </c>
      <c r="T10" s="2">
        <v>44694</v>
      </c>
      <c r="U10">
        <v>17</v>
      </c>
      <c r="W10" t="s">
        <v>178</v>
      </c>
      <c r="Y10">
        <v>1</v>
      </c>
      <c r="Z10" t="s">
        <v>170</v>
      </c>
      <c r="AA10" t="s">
        <v>104</v>
      </c>
      <c r="AB10">
        <v>15</v>
      </c>
      <c r="AC10" t="s">
        <v>179</v>
      </c>
      <c r="AD10" s="28">
        <v>119</v>
      </c>
      <c r="AE10">
        <v>117</v>
      </c>
      <c r="AF10">
        <v>6.2</v>
      </c>
      <c r="AG10">
        <v>8.1999999999999993</v>
      </c>
      <c r="AH10">
        <v>11</v>
      </c>
      <c r="AI10">
        <v>2</v>
      </c>
      <c r="AJ10">
        <v>70</v>
      </c>
      <c r="AK10">
        <v>62</v>
      </c>
      <c r="AL10">
        <v>12</v>
      </c>
      <c r="AM10">
        <v>27</v>
      </c>
      <c r="AN10">
        <v>41</v>
      </c>
      <c r="AO10">
        <v>25</v>
      </c>
      <c r="AP10">
        <v>9</v>
      </c>
      <c r="AQ10" s="23">
        <v>6</v>
      </c>
      <c r="AY10" s="28">
        <v>35.200000000000003</v>
      </c>
      <c r="AZ10">
        <v>32</v>
      </c>
      <c r="BA10">
        <v>12.1</v>
      </c>
      <c r="BB10">
        <v>12.3</v>
      </c>
      <c r="BC10" s="23">
        <v>4.66</v>
      </c>
      <c r="BD10">
        <v>2.66</v>
      </c>
      <c r="BE10">
        <v>1.17</v>
      </c>
      <c r="BF10">
        <v>1.19</v>
      </c>
      <c r="BG10">
        <v>87</v>
      </c>
      <c r="BH10">
        <v>62.5</v>
      </c>
      <c r="BI10">
        <v>5.7</v>
      </c>
      <c r="BJ10">
        <v>6.2</v>
      </c>
      <c r="BK10">
        <v>84</v>
      </c>
      <c r="BL10">
        <v>97.5</v>
      </c>
      <c r="BM10">
        <v>13.6</v>
      </c>
      <c r="BN10">
        <v>15.3</v>
      </c>
      <c r="BO10">
        <v>3.4</v>
      </c>
      <c r="BP10">
        <v>5.0999999999999996</v>
      </c>
      <c r="BQ10">
        <v>10.199999999999999</v>
      </c>
      <c r="BR10">
        <v>10.199999999999999</v>
      </c>
      <c r="BS10">
        <v>34.549999999999997</v>
      </c>
      <c r="BT10">
        <v>45.2</v>
      </c>
      <c r="BU10">
        <v>18.100000000000001</v>
      </c>
      <c r="BV10">
        <v>24.1</v>
      </c>
      <c r="BW10">
        <v>8.1</v>
      </c>
      <c r="BX10">
        <v>4.7</v>
      </c>
    </row>
    <row r="11" spans="1:77" s="5" customFormat="1" x14ac:dyDescent="0.35">
      <c r="A11" s="5">
        <v>1</v>
      </c>
      <c r="B11" s="23" t="s">
        <v>180</v>
      </c>
      <c r="C11" s="5" t="s">
        <v>181</v>
      </c>
      <c r="D11" s="5">
        <v>72</v>
      </c>
      <c r="E11" s="23" t="s">
        <v>110</v>
      </c>
      <c r="F11" s="5" t="s">
        <v>182</v>
      </c>
      <c r="G11" s="5" t="s">
        <v>81</v>
      </c>
      <c r="H11" s="5" t="s">
        <v>82</v>
      </c>
      <c r="I11" s="5" t="s">
        <v>183</v>
      </c>
      <c r="J11" s="5" t="s">
        <v>184</v>
      </c>
      <c r="K11" s="5" t="s">
        <v>185</v>
      </c>
      <c r="L11" s="7">
        <v>0.8</v>
      </c>
      <c r="M11" s="23" t="s">
        <v>116</v>
      </c>
      <c r="O11" s="23">
        <v>80</v>
      </c>
      <c r="P11" s="5">
        <v>94</v>
      </c>
      <c r="R11" s="5">
        <v>7</v>
      </c>
      <c r="S11" s="6">
        <v>44512</v>
      </c>
      <c r="T11" s="6">
        <v>44519</v>
      </c>
      <c r="U11" s="5">
        <v>7</v>
      </c>
      <c r="V11" s="25">
        <v>44519</v>
      </c>
      <c r="W11" s="5" t="s">
        <v>89</v>
      </c>
      <c r="Y11" s="5">
        <v>7</v>
      </c>
      <c r="Z11" s="5" t="s">
        <v>90</v>
      </c>
      <c r="AA11" s="5" t="s">
        <v>104</v>
      </c>
      <c r="AB11" s="5">
        <v>7</v>
      </c>
      <c r="AC11" s="5" t="s">
        <v>186</v>
      </c>
      <c r="AD11" s="28">
        <v>128</v>
      </c>
      <c r="AF11" s="5">
        <v>11.6</v>
      </c>
      <c r="AH11" s="5">
        <v>7</v>
      </c>
      <c r="AJ11" s="5">
        <v>64</v>
      </c>
      <c r="AL11" s="5">
        <v>25</v>
      </c>
      <c r="AN11" s="5">
        <v>40</v>
      </c>
      <c r="AP11" s="5">
        <v>9</v>
      </c>
      <c r="AQ11" s="23"/>
      <c r="AT11" s="23"/>
      <c r="AY11" s="28">
        <v>40</v>
      </c>
      <c r="BA11" s="5">
        <v>9.5</v>
      </c>
      <c r="BC11" s="23">
        <v>6</v>
      </c>
      <c r="BE11" s="5">
        <v>0.92</v>
      </c>
      <c r="BG11" s="5">
        <v>72</v>
      </c>
      <c r="BI11" s="5">
        <v>10</v>
      </c>
      <c r="BK11" s="5">
        <v>129</v>
      </c>
      <c r="BM11" s="5">
        <v>11.9</v>
      </c>
      <c r="BO11" s="5">
        <v>3.4</v>
      </c>
      <c r="BQ11" s="5">
        <v>8.5</v>
      </c>
      <c r="BS11" s="5">
        <v>95.11</v>
      </c>
      <c r="BU11" s="5">
        <v>123</v>
      </c>
      <c r="BW11" s="5">
        <v>11</v>
      </c>
    </row>
    <row r="12" spans="1:77" x14ac:dyDescent="0.35">
      <c r="A12">
        <v>2</v>
      </c>
      <c r="B12" s="23" t="s">
        <v>187</v>
      </c>
      <c r="C12" t="s">
        <v>188</v>
      </c>
      <c r="D12">
        <v>65</v>
      </c>
      <c r="E12" s="23" t="s">
        <v>79</v>
      </c>
      <c r="F12">
        <v>504118955</v>
      </c>
      <c r="G12" t="s">
        <v>81</v>
      </c>
      <c r="H12" t="s">
        <v>82</v>
      </c>
      <c r="I12" t="s">
        <v>83</v>
      </c>
      <c r="K12" t="s">
        <v>189</v>
      </c>
      <c r="L12" s="4">
        <v>0.7</v>
      </c>
      <c r="M12" s="23" t="s">
        <v>82</v>
      </c>
      <c r="O12" s="23">
        <v>66</v>
      </c>
      <c r="P12">
        <v>85</v>
      </c>
      <c r="Q12">
        <v>93</v>
      </c>
      <c r="R12">
        <v>7</v>
      </c>
      <c r="S12" s="2">
        <v>44488</v>
      </c>
      <c r="T12" s="2">
        <v>44516</v>
      </c>
      <c r="U12">
        <v>28</v>
      </c>
      <c r="W12" t="s">
        <v>89</v>
      </c>
      <c r="X12" t="s">
        <v>190</v>
      </c>
      <c r="Y12" s="12" t="s">
        <v>191</v>
      </c>
      <c r="Z12" t="s">
        <v>119</v>
      </c>
      <c r="AA12" t="s">
        <v>119</v>
      </c>
      <c r="AB12">
        <v>22</v>
      </c>
      <c r="AC12" t="s">
        <v>192</v>
      </c>
      <c r="AD12" s="28">
        <v>144</v>
      </c>
      <c r="AE12">
        <v>134</v>
      </c>
      <c r="AF12">
        <v>14.2</v>
      </c>
      <c r="AG12">
        <v>5.4</v>
      </c>
      <c r="AH12">
        <v>15</v>
      </c>
      <c r="AI12">
        <v>2</v>
      </c>
      <c r="AJ12">
        <v>76</v>
      </c>
      <c r="AK12">
        <v>80</v>
      </c>
      <c r="AL12">
        <v>8</v>
      </c>
      <c r="AM12">
        <v>17</v>
      </c>
      <c r="AN12">
        <v>40</v>
      </c>
      <c r="AO12">
        <v>6</v>
      </c>
      <c r="AP12">
        <v>12</v>
      </c>
      <c r="AQ12" s="23">
        <v>6</v>
      </c>
      <c r="AU12">
        <v>1100</v>
      </c>
      <c r="AX12">
        <v>0.9</v>
      </c>
      <c r="AY12" s="28">
        <v>44</v>
      </c>
      <c r="AZ12">
        <v>39</v>
      </c>
      <c r="BA12">
        <v>13.2</v>
      </c>
      <c r="BB12">
        <v>12.2</v>
      </c>
      <c r="BC12" s="23">
        <v>6.8</v>
      </c>
      <c r="BD12">
        <v>3.18</v>
      </c>
      <c r="BE12">
        <v>1.24</v>
      </c>
      <c r="BF12">
        <v>1.1499999999999999</v>
      </c>
      <c r="BG12">
        <v>62</v>
      </c>
      <c r="BH12">
        <v>50</v>
      </c>
      <c r="BI12">
        <v>13</v>
      </c>
      <c r="BJ12">
        <v>6.1</v>
      </c>
      <c r="BK12">
        <v>130</v>
      </c>
      <c r="BL12">
        <v>88</v>
      </c>
      <c r="BM12">
        <v>18.7</v>
      </c>
      <c r="BN12">
        <v>17</v>
      </c>
      <c r="BO12">
        <v>4.5</v>
      </c>
      <c r="BP12">
        <v>5.0999999999999996</v>
      </c>
      <c r="BQ12">
        <v>7.2</v>
      </c>
      <c r="BR12">
        <v>11.9</v>
      </c>
      <c r="BS12">
        <v>12</v>
      </c>
      <c r="BT12">
        <v>96</v>
      </c>
      <c r="BU12">
        <v>44</v>
      </c>
      <c r="BV12">
        <v>61</v>
      </c>
      <c r="BW12">
        <v>7</v>
      </c>
      <c r="BX12">
        <v>5.6</v>
      </c>
    </row>
    <row r="13" spans="1:77" x14ac:dyDescent="0.35">
      <c r="A13">
        <v>2</v>
      </c>
      <c r="B13" s="23" t="s">
        <v>193</v>
      </c>
      <c r="C13" t="s">
        <v>194</v>
      </c>
      <c r="D13">
        <v>48</v>
      </c>
      <c r="E13" s="23" t="s">
        <v>110</v>
      </c>
      <c r="F13">
        <v>955939761</v>
      </c>
      <c r="G13" t="s">
        <v>162</v>
      </c>
      <c r="H13" t="s">
        <v>163</v>
      </c>
      <c r="I13" t="s">
        <v>164</v>
      </c>
      <c r="O13" s="23">
        <v>93</v>
      </c>
      <c r="Q13">
        <v>98</v>
      </c>
      <c r="R13">
        <v>6</v>
      </c>
      <c r="S13" s="2">
        <v>44681</v>
      </c>
      <c r="T13" s="2">
        <v>44693</v>
      </c>
      <c r="U13">
        <v>12</v>
      </c>
      <c r="X13" t="s">
        <v>195</v>
      </c>
      <c r="Y13">
        <v>5</v>
      </c>
      <c r="Z13" t="s">
        <v>119</v>
      </c>
      <c r="AA13" t="s">
        <v>104</v>
      </c>
      <c r="AC13" t="s">
        <v>196</v>
      </c>
      <c r="AD13" s="28">
        <v>120</v>
      </c>
      <c r="AE13">
        <v>118</v>
      </c>
      <c r="AF13">
        <v>11.2</v>
      </c>
      <c r="AG13">
        <v>14.3</v>
      </c>
      <c r="AH13">
        <v>6</v>
      </c>
      <c r="AI13">
        <v>16</v>
      </c>
      <c r="AJ13">
        <v>64</v>
      </c>
      <c r="AK13">
        <v>61</v>
      </c>
      <c r="AL13">
        <v>28</v>
      </c>
      <c r="AM13">
        <v>19</v>
      </c>
      <c r="AN13">
        <v>50</v>
      </c>
      <c r="AO13">
        <v>20</v>
      </c>
      <c r="AP13">
        <v>13</v>
      </c>
      <c r="AQ13" s="23">
        <v>6</v>
      </c>
      <c r="AY13" s="28">
        <v>45</v>
      </c>
      <c r="AZ13">
        <v>36</v>
      </c>
      <c r="BA13">
        <v>10.9</v>
      </c>
      <c r="BB13">
        <v>8.6</v>
      </c>
      <c r="BC13" s="23">
        <v>4.8</v>
      </c>
      <c r="BD13">
        <v>2.2000000000000002</v>
      </c>
      <c r="BE13">
        <v>1.6</v>
      </c>
      <c r="BF13">
        <v>0.85</v>
      </c>
      <c r="BG13">
        <v>73</v>
      </c>
      <c r="BH13">
        <v>70.5</v>
      </c>
      <c r="BI13">
        <v>6</v>
      </c>
      <c r="BJ13">
        <v>7.3</v>
      </c>
      <c r="BK13">
        <v>87</v>
      </c>
      <c r="BL13">
        <v>101</v>
      </c>
      <c r="BM13">
        <v>18.7</v>
      </c>
      <c r="BN13">
        <v>13.6</v>
      </c>
      <c r="BO13">
        <v>6.8</v>
      </c>
      <c r="BP13">
        <v>5.0999999999999996</v>
      </c>
      <c r="BQ13">
        <v>11.9</v>
      </c>
      <c r="BR13">
        <v>8.5</v>
      </c>
      <c r="BS13">
        <v>127.8</v>
      </c>
      <c r="BT13">
        <v>75.400000000000006</v>
      </c>
      <c r="BU13">
        <v>75.400000000000006</v>
      </c>
      <c r="BV13">
        <v>48.2</v>
      </c>
      <c r="BW13">
        <v>7</v>
      </c>
      <c r="BX13">
        <v>8.4</v>
      </c>
    </row>
    <row r="14" spans="1:77" x14ac:dyDescent="0.35">
      <c r="A14">
        <v>2</v>
      </c>
      <c r="B14" s="23" t="s">
        <v>197</v>
      </c>
      <c r="C14" t="s">
        <v>198</v>
      </c>
      <c r="D14">
        <v>62</v>
      </c>
      <c r="E14" s="23" t="s">
        <v>110</v>
      </c>
      <c r="F14">
        <v>635060454</v>
      </c>
      <c r="G14" t="s">
        <v>162</v>
      </c>
      <c r="H14" t="s">
        <v>163</v>
      </c>
      <c r="I14" t="s">
        <v>199</v>
      </c>
      <c r="K14" t="s">
        <v>200</v>
      </c>
      <c r="L14" s="4">
        <v>0.25</v>
      </c>
      <c r="M14" s="23" t="s">
        <v>167</v>
      </c>
      <c r="O14" s="23">
        <v>88</v>
      </c>
      <c r="P14">
        <v>96</v>
      </c>
      <c r="Q14">
        <v>95</v>
      </c>
      <c r="R14">
        <v>7</v>
      </c>
      <c r="S14" s="2">
        <v>44678</v>
      </c>
      <c r="T14" s="2">
        <v>44692</v>
      </c>
      <c r="U14">
        <v>14</v>
      </c>
      <c r="W14" t="s">
        <v>195</v>
      </c>
      <c r="X14" t="s">
        <v>190</v>
      </c>
      <c r="Z14" t="s">
        <v>201</v>
      </c>
      <c r="AA14" t="s">
        <v>91</v>
      </c>
      <c r="AB14">
        <v>4</v>
      </c>
      <c r="AC14" t="s">
        <v>202</v>
      </c>
      <c r="AD14" s="28">
        <v>135</v>
      </c>
      <c r="AE14">
        <v>132</v>
      </c>
      <c r="AF14">
        <v>4.7</v>
      </c>
      <c r="AG14">
        <v>14.2</v>
      </c>
      <c r="AH14">
        <v>10</v>
      </c>
      <c r="AI14">
        <v>17</v>
      </c>
      <c r="AJ14">
        <v>29</v>
      </c>
      <c r="AK14">
        <v>69</v>
      </c>
      <c r="AL14">
        <v>52</v>
      </c>
      <c r="AM14">
        <v>13</v>
      </c>
      <c r="AN14">
        <v>35</v>
      </c>
      <c r="AO14">
        <v>10</v>
      </c>
      <c r="AP14">
        <v>10</v>
      </c>
      <c r="AQ14" s="23">
        <v>6</v>
      </c>
      <c r="AR14">
        <v>8.7799999999999994</v>
      </c>
      <c r="AS14">
        <v>12.8</v>
      </c>
      <c r="AU14">
        <v>238</v>
      </c>
      <c r="AV14">
        <v>276</v>
      </c>
      <c r="AX14">
        <v>0.1</v>
      </c>
      <c r="AY14" s="28">
        <v>41</v>
      </c>
      <c r="AZ14">
        <v>40</v>
      </c>
      <c r="BA14">
        <v>12</v>
      </c>
      <c r="BB14">
        <v>10.6</v>
      </c>
      <c r="BC14" s="23">
        <v>3.92</v>
      </c>
      <c r="BD14">
        <v>2.5299999999999998</v>
      </c>
      <c r="BE14">
        <v>1.1599999999999999</v>
      </c>
      <c r="BF14">
        <v>1.04</v>
      </c>
      <c r="BG14">
        <v>52</v>
      </c>
      <c r="BH14">
        <v>64.2</v>
      </c>
      <c r="BI14">
        <v>6</v>
      </c>
      <c r="BJ14">
        <v>5.5</v>
      </c>
      <c r="BK14">
        <v>88</v>
      </c>
      <c r="BL14">
        <v>82.7</v>
      </c>
      <c r="BM14">
        <v>16.2</v>
      </c>
      <c r="BN14">
        <v>15.3</v>
      </c>
      <c r="BO14">
        <v>8.3000000000000007</v>
      </c>
      <c r="BP14">
        <v>5.0999999999999996</v>
      </c>
      <c r="BQ14">
        <v>9.1</v>
      </c>
      <c r="BR14">
        <v>10.199999999999999</v>
      </c>
      <c r="BS14">
        <v>37.4</v>
      </c>
      <c r="BT14">
        <v>82.8</v>
      </c>
      <c r="BU14">
        <v>30.2</v>
      </c>
      <c r="BV14">
        <v>36.200000000000003</v>
      </c>
      <c r="BW14">
        <v>6.8</v>
      </c>
      <c r="BX14">
        <v>5.3</v>
      </c>
    </row>
    <row r="15" spans="1:77" x14ac:dyDescent="0.35">
      <c r="A15">
        <v>2</v>
      </c>
      <c r="B15" s="23" t="s">
        <v>203</v>
      </c>
      <c r="C15" t="s">
        <v>204</v>
      </c>
      <c r="D15">
        <v>69</v>
      </c>
      <c r="E15" s="23" t="s">
        <v>110</v>
      </c>
      <c r="F15" t="s">
        <v>205</v>
      </c>
      <c r="G15" t="s">
        <v>97</v>
      </c>
      <c r="H15" t="s">
        <v>82</v>
      </c>
      <c r="I15" t="s">
        <v>98</v>
      </c>
      <c r="K15" t="s">
        <v>206</v>
      </c>
      <c r="O15" s="23">
        <v>81</v>
      </c>
      <c r="P15">
        <v>93</v>
      </c>
      <c r="Q15">
        <v>96</v>
      </c>
      <c r="R15">
        <v>10</v>
      </c>
      <c r="S15" s="2">
        <v>44517</v>
      </c>
      <c r="T15" s="2">
        <v>44553</v>
      </c>
      <c r="U15">
        <v>37</v>
      </c>
      <c r="W15" t="s">
        <v>89</v>
      </c>
      <c r="X15" t="s">
        <v>207</v>
      </c>
      <c r="Z15" t="s">
        <v>201</v>
      </c>
      <c r="AA15" t="s">
        <v>119</v>
      </c>
      <c r="AB15" t="s">
        <v>208</v>
      </c>
      <c r="AC15" t="s">
        <v>209</v>
      </c>
      <c r="AD15" s="28">
        <v>142</v>
      </c>
      <c r="AE15">
        <v>116</v>
      </c>
      <c r="AF15">
        <v>7</v>
      </c>
      <c r="AG15">
        <v>6</v>
      </c>
      <c r="AH15">
        <v>12</v>
      </c>
      <c r="AI15">
        <v>10</v>
      </c>
      <c r="AJ15">
        <v>66</v>
      </c>
      <c r="AK15">
        <v>60</v>
      </c>
      <c r="AL15">
        <v>6</v>
      </c>
      <c r="AM15">
        <v>30</v>
      </c>
      <c r="AN15">
        <v>45</v>
      </c>
      <c r="AO15">
        <v>25</v>
      </c>
      <c r="AP15">
        <v>18</v>
      </c>
      <c r="AQ15" s="23">
        <v>6</v>
      </c>
      <c r="AU15">
        <v>972</v>
      </c>
      <c r="AV15">
        <v>0.9</v>
      </c>
      <c r="AY15" s="28">
        <v>40</v>
      </c>
      <c r="AZ15">
        <v>31</v>
      </c>
      <c r="BA15">
        <v>10.199999999999999</v>
      </c>
      <c r="BB15">
        <v>10</v>
      </c>
      <c r="BC15" s="23">
        <v>5</v>
      </c>
      <c r="BD15">
        <v>7</v>
      </c>
      <c r="BE15">
        <v>1</v>
      </c>
      <c r="BF15">
        <v>0.98</v>
      </c>
      <c r="BG15">
        <v>70</v>
      </c>
      <c r="BH15">
        <v>62.6</v>
      </c>
      <c r="BI15">
        <v>68</v>
      </c>
      <c r="BJ15">
        <v>14.1</v>
      </c>
      <c r="BK15">
        <v>95</v>
      </c>
      <c r="BL15">
        <v>143</v>
      </c>
      <c r="BM15">
        <v>11.9</v>
      </c>
      <c r="BN15">
        <v>13</v>
      </c>
      <c r="BO15">
        <v>3.4</v>
      </c>
      <c r="BP15">
        <v>5</v>
      </c>
      <c r="BQ15">
        <v>8.5</v>
      </c>
      <c r="BR15">
        <v>8.5</v>
      </c>
      <c r="BS15">
        <v>26.5</v>
      </c>
      <c r="BT15">
        <v>43</v>
      </c>
      <c r="BU15">
        <v>50</v>
      </c>
      <c r="BV15">
        <v>34.5</v>
      </c>
      <c r="BW15">
        <v>7</v>
      </c>
      <c r="BX15">
        <v>5</v>
      </c>
      <c r="BY15" t="s">
        <v>210</v>
      </c>
    </row>
    <row r="16" spans="1:77" x14ac:dyDescent="0.35">
      <c r="A16">
        <v>2</v>
      </c>
      <c r="B16" s="23" t="s">
        <v>211</v>
      </c>
      <c r="C16" t="s">
        <v>212</v>
      </c>
      <c r="D16">
        <v>66</v>
      </c>
      <c r="E16" s="23" t="s">
        <v>79</v>
      </c>
      <c r="F16" t="s">
        <v>213</v>
      </c>
      <c r="G16" t="s">
        <v>97</v>
      </c>
      <c r="H16" t="s">
        <v>82</v>
      </c>
      <c r="I16" t="s">
        <v>183</v>
      </c>
      <c r="K16" t="s">
        <v>214</v>
      </c>
      <c r="L16" s="4">
        <v>0.5</v>
      </c>
      <c r="M16" s="23" t="s">
        <v>82</v>
      </c>
      <c r="O16" s="23">
        <v>90</v>
      </c>
      <c r="P16">
        <v>97</v>
      </c>
      <c r="Q16">
        <v>94</v>
      </c>
      <c r="R16">
        <v>7</v>
      </c>
      <c r="S16" s="2">
        <v>44532</v>
      </c>
      <c r="T16" s="2">
        <v>44548</v>
      </c>
      <c r="U16">
        <v>17</v>
      </c>
      <c r="W16" t="s">
        <v>195</v>
      </c>
      <c r="X16" t="s">
        <v>215</v>
      </c>
      <c r="Y16">
        <v>12</v>
      </c>
      <c r="Z16" t="s">
        <v>119</v>
      </c>
      <c r="AA16" t="s">
        <v>104</v>
      </c>
      <c r="AB16">
        <v>12</v>
      </c>
      <c r="AC16" t="s">
        <v>216</v>
      </c>
      <c r="AD16" s="28">
        <v>114</v>
      </c>
      <c r="AE16">
        <v>116</v>
      </c>
      <c r="AF16">
        <v>10.5</v>
      </c>
      <c r="AG16">
        <v>11.5</v>
      </c>
      <c r="AH16">
        <v>12</v>
      </c>
      <c r="AI16">
        <v>14</v>
      </c>
      <c r="AJ16">
        <v>64</v>
      </c>
      <c r="AK16">
        <v>62</v>
      </c>
      <c r="AL16">
        <v>22</v>
      </c>
      <c r="AM16">
        <v>22</v>
      </c>
      <c r="AN16">
        <v>20</v>
      </c>
      <c r="AO16">
        <v>13</v>
      </c>
      <c r="AQ16" s="23">
        <v>12</v>
      </c>
      <c r="AU16">
        <v>1105</v>
      </c>
      <c r="AY16" s="28">
        <v>35</v>
      </c>
      <c r="AZ16">
        <v>37</v>
      </c>
      <c r="BA16">
        <v>13.2</v>
      </c>
      <c r="BB16">
        <v>13.1</v>
      </c>
      <c r="BC16" s="23">
        <v>2.5499999999999998</v>
      </c>
      <c r="BD16">
        <v>4</v>
      </c>
      <c r="BE16">
        <v>1.26</v>
      </c>
      <c r="BF16">
        <v>1.26</v>
      </c>
      <c r="BG16">
        <v>56</v>
      </c>
      <c r="BH16">
        <v>58</v>
      </c>
      <c r="BI16">
        <v>4.8</v>
      </c>
      <c r="BJ16">
        <v>8.1999999999999993</v>
      </c>
      <c r="BK16">
        <v>70</v>
      </c>
      <c r="BL16">
        <v>100</v>
      </c>
      <c r="BM16">
        <v>13.6</v>
      </c>
      <c r="BN16">
        <v>13.6</v>
      </c>
      <c r="BO16">
        <v>3.4</v>
      </c>
      <c r="BP16">
        <v>5.0999999999999996</v>
      </c>
      <c r="BQ16">
        <v>10.199999999999999</v>
      </c>
      <c r="BR16">
        <v>13</v>
      </c>
      <c r="BS16">
        <v>22</v>
      </c>
      <c r="BT16">
        <v>65</v>
      </c>
      <c r="BU16">
        <v>12.5</v>
      </c>
      <c r="BV16">
        <v>34.5</v>
      </c>
      <c r="BW16">
        <v>5</v>
      </c>
      <c r="BX16">
        <v>5.0999999999999996</v>
      </c>
    </row>
    <row r="17" spans="1:77" x14ac:dyDescent="0.35">
      <c r="A17">
        <v>2</v>
      </c>
      <c r="B17" s="23" t="s">
        <v>217</v>
      </c>
      <c r="C17" t="s">
        <v>218</v>
      </c>
      <c r="D17">
        <v>33</v>
      </c>
      <c r="E17" s="23" t="s">
        <v>79</v>
      </c>
      <c r="F17">
        <v>961280845</v>
      </c>
      <c r="G17" t="s">
        <v>219</v>
      </c>
      <c r="H17" t="s">
        <v>163</v>
      </c>
      <c r="I17" t="s">
        <v>164</v>
      </c>
      <c r="L17" s="4">
        <v>0.15</v>
      </c>
      <c r="M17" s="23" t="s">
        <v>167</v>
      </c>
      <c r="O17" s="23">
        <v>90</v>
      </c>
      <c r="Q17">
        <v>97</v>
      </c>
      <c r="R17">
        <v>7</v>
      </c>
      <c r="S17" s="2">
        <v>44517</v>
      </c>
      <c r="T17" s="2">
        <v>44525</v>
      </c>
      <c r="U17">
        <v>8</v>
      </c>
      <c r="X17" t="s">
        <v>89</v>
      </c>
      <c r="Z17" t="s">
        <v>104</v>
      </c>
      <c r="AA17" t="s">
        <v>171</v>
      </c>
      <c r="AC17" t="s">
        <v>220</v>
      </c>
      <c r="AD17" s="28">
        <v>156</v>
      </c>
      <c r="AE17">
        <v>148</v>
      </c>
      <c r="AF17">
        <v>6</v>
      </c>
      <c r="AG17">
        <v>8</v>
      </c>
      <c r="AH17">
        <v>15</v>
      </c>
      <c r="AI17">
        <v>4</v>
      </c>
      <c r="AJ17">
        <v>68</v>
      </c>
      <c r="AK17">
        <v>66</v>
      </c>
      <c r="AL17">
        <v>14</v>
      </c>
      <c r="AM17">
        <v>22</v>
      </c>
      <c r="AN17">
        <v>45</v>
      </c>
      <c r="AO17">
        <v>21</v>
      </c>
      <c r="AP17">
        <v>18</v>
      </c>
      <c r="AQ17" s="23">
        <v>6</v>
      </c>
      <c r="AR17">
        <v>10</v>
      </c>
      <c r="AU17">
        <v>968</v>
      </c>
      <c r="AX17">
        <v>0.104</v>
      </c>
      <c r="AY17" s="28">
        <v>38</v>
      </c>
      <c r="AZ17">
        <v>46</v>
      </c>
      <c r="BA17">
        <v>10.8</v>
      </c>
      <c r="BB17">
        <v>10.199999999999999</v>
      </c>
      <c r="BC17" s="23">
        <v>7</v>
      </c>
      <c r="BD17">
        <v>6.6</v>
      </c>
      <c r="BE17">
        <v>1.3</v>
      </c>
      <c r="BF17">
        <v>1</v>
      </c>
      <c r="BG17">
        <v>62</v>
      </c>
      <c r="BH17">
        <v>66</v>
      </c>
      <c r="BI17">
        <v>6.8</v>
      </c>
      <c r="BJ17">
        <v>4</v>
      </c>
      <c r="BK17">
        <v>95</v>
      </c>
      <c r="BL17">
        <v>67</v>
      </c>
      <c r="BM17">
        <v>15.3</v>
      </c>
      <c r="BN17">
        <v>15.3</v>
      </c>
      <c r="BO17">
        <v>5.0999999999999996</v>
      </c>
      <c r="BP17">
        <v>5.0999999999999996</v>
      </c>
      <c r="BQ17">
        <v>10.199999999999999</v>
      </c>
      <c r="BR17">
        <v>10.199999999999999</v>
      </c>
      <c r="BS17">
        <v>56.3</v>
      </c>
      <c r="BT17">
        <v>146.6</v>
      </c>
      <c r="BU17">
        <v>47</v>
      </c>
      <c r="BV17">
        <v>41</v>
      </c>
      <c r="BW17">
        <v>7</v>
      </c>
      <c r="BX17">
        <v>3.7</v>
      </c>
    </row>
    <row r="18" spans="1:77" x14ac:dyDescent="0.35">
      <c r="A18">
        <v>2</v>
      </c>
      <c r="B18" s="23" t="s">
        <v>221</v>
      </c>
      <c r="C18" t="s">
        <v>222</v>
      </c>
      <c r="D18">
        <v>35</v>
      </c>
      <c r="E18" s="23" t="s">
        <v>79</v>
      </c>
      <c r="F18">
        <v>990370382</v>
      </c>
      <c r="G18" t="s">
        <v>219</v>
      </c>
      <c r="H18" t="s">
        <v>163</v>
      </c>
      <c r="I18" t="s">
        <v>164</v>
      </c>
      <c r="K18" t="s">
        <v>223</v>
      </c>
      <c r="L18" s="3"/>
      <c r="O18" s="23">
        <v>91</v>
      </c>
      <c r="P18">
        <v>97</v>
      </c>
      <c r="Q18">
        <v>98</v>
      </c>
      <c r="R18">
        <v>10</v>
      </c>
      <c r="S18" s="2">
        <v>44516</v>
      </c>
      <c r="T18" s="2">
        <v>44525</v>
      </c>
      <c r="U18">
        <v>9</v>
      </c>
      <c r="W18" t="s">
        <v>195</v>
      </c>
      <c r="X18" t="s">
        <v>215</v>
      </c>
      <c r="Z18" t="s">
        <v>104</v>
      </c>
      <c r="AA18" t="s">
        <v>171</v>
      </c>
      <c r="AB18">
        <v>6</v>
      </c>
      <c r="AC18" t="s">
        <v>224</v>
      </c>
      <c r="AD18" s="28">
        <v>152</v>
      </c>
      <c r="AE18">
        <v>160</v>
      </c>
      <c r="AF18">
        <v>10</v>
      </c>
      <c r="AG18">
        <v>6.4</v>
      </c>
      <c r="AH18">
        <v>22</v>
      </c>
      <c r="AI18">
        <v>2</v>
      </c>
      <c r="AJ18">
        <v>80</v>
      </c>
      <c r="AK18">
        <v>70</v>
      </c>
      <c r="AL18">
        <v>6</v>
      </c>
      <c r="AM18">
        <v>21</v>
      </c>
      <c r="AN18">
        <v>21</v>
      </c>
      <c r="AO18">
        <v>24</v>
      </c>
      <c r="AP18">
        <v>19</v>
      </c>
      <c r="AQ18" s="23">
        <v>6</v>
      </c>
      <c r="AR18">
        <v>34</v>
      </c>
      <c r="AS18">
        <v>11.4</v>
      </c>
      <c r="AU18">
        <v>364</v>
      </c>
      <c r="AX18">
        <v>0.06</v>
      </c>
      <c r="AY18" s="28">
        <v>40</v>
      </c>
      <c r="AZ18">
        <v>46</v>
      </c>
      <c r="BA18">
        <v>10.3</v>
      </c>
      <c r="BB18">
        <v>10.5</v>
      </c>
      <c r="BC18" s="23">
        <v>6</v>
      </c>
      <c r="BD18">
        <v>5</v>
      </c>
      <c r="BE18">
        <v>1</v>
      </c>
      <c r="BF18">
        <v>1.02</v>
      </c>
      <c r="BG18">
        <v>56</v>
      </c>
      <c r="BH18">
        <v>64</v>
      </c>
      <c r="BI18">
        <v>4.0999999999999996</v>
      </c>
      <c r="BJ18">
        <v>4</v>
      </c>
      <c r="BK18">
        <v>77</v>
      </c>
      <c r="BL18">
        <v>66</v>
      </c>
      <c r="BM18">
        <v>15.3</v>
      </c>
      <c r="BN18">
        <v>20.399999999999999</v>
      </c>
      <c r="BO18">
        <v>5.0999999999999996</v>
      </c>
      <c r="BP18">
        <v>6.8</v>
      </c>
      <c r="BQ18">
        <v>10.199999999999999</v>
      </c>
      <c r="BR18">
        <v>12</v>
      </c>
      <c r="BS18">
        <v>30.3</v>
      </c>
      <c r="BT18">
        <v>200</v>
      </c>
      <c r="BU18">
        <v>15.5</v>
      </c>
      <c r="BV18">
        <v>37.5</v>
      </c>
      <c r="BW18">
        <v>4</v>
      </c>
      <c r="BX18">
        <v>3.6</v>
      </c>
      <c r="BY18" t="s">
        <v>225</v>
      </c>
    </row>
    <row r="19" spans="1:77" x14ac:dyDescent="0.35">
      <c r="A19">
        <v>2</v>
      </c>
      <c r="B19" s="23" t="s">
        <v>226</v>
      </c>
      <c r="C19" t="s">
        <v>227</v>
      </c>
      <c r="D19">
        <v>76</v>
      </c>
      <c r="E19" s="23" t="s">
        <v>79</v>
      </c>
      <c r="F19" t="s">
        <v>228</v>
      </c>
      <c r="G19" t="s">
        <v>219</v>
      </c>
      <c r="H19" t="s">
        <v>163</v>
      </c>
      <c r="I19" t="s">
        <v>113</v>
      </c>
      <c r="K19" t="s">
        <v>229</v>
      </c>
      <c r="O19" s="23">
        <v>90</v>
      </c>
      <c r="P19">
        <v>98</v>
      </c>
      <c r="Q19">
        <v>98</v>
      </c>
      <c r="R19">
        <v>6</v>
      </c>
      <c r="S19" s="2">
        <v>44511</v>
      </c>
      <c r="T19" s="2">
        <v>44530</v>
      </c>
      <c r="U19">
        <v>19</v>
      </c>
      <c r="Z19" t="s">
        <v>90</v>
      </c>
      <c r="AA19" t="s">
        <v>135</v>
      </c>
      <c r="AB19">
        <v>3</v>
      </c>
      <c r="AC19" t="s">
        <v>230</v>
      </c>
      <c r="AD19" s="28">
        <v>134</v>
      </c>
      <c r="AE19">
        <v>136</v>
      </c>
      <c r="AF19">
        <v>7</v>
      </c>
      <c r="AG19">
        <v>7.2</v>
      </c>
      <c r="AH19">
        <v>12</v>
      </c>
      <c r="AI19">
        <v>15</v>
      </c>
      <c r="AJ19">
        <v>60</v>
      </c>
      <c r="AK19">
        <v>60</v>
      </c>
      <c r="AL19">
        <v>18</v>
      </c>
      <c r="AM19">
        <v>14</v>
      </c>
      <c r="AN19">
        <v>6</v>
      </c>
      <c r="AO19">
        <v>8</v>
      </c>
      <c r="AP19">
        <v>18</v>
      </c>
      <c r="AQ19" s="23">
        <v>18</v>
      </c>
      <c r="AY19" s="28">
        <v>38</v>
      </c>
      <c r="AZ19">
        <v>45</v>
      </c>
      <c r="BA19">
        <v>9</v>
      </c>
      <c r="BB19">
        <v>9.8000000000000007</v>
      </c>
      <c r="BC19" s="23">
        <v>3.5</v>
      </c>
      <c r="BD19">
        <v>7</v>
      </c>
      <c r="BE19">
        <v>0.87</v>
      </c>
      <c r="BF19">
        <v>0.97</v>
      </c>
      <c r="BG19">
        <v>56</v>
      </c>
      <c r="BH19">
        <v>52</v>
      </c>
      <c r="BI19">
        <v>6.3</v>
      </c>
      <c r="BJ19">
        <v>5.9</v>
      </c>
      <c r="BK19">
        <v>90</v>
      </c>
      <c r="BL19">
        <v>95</v>
      </c>
      <c r="BM19">
        <v>15.3</v>
      </c>
      <c r="BN19">
        <v>18.7</v>
      </c>
      <c r="BO19">
        <v>5.0999999999999996</v>
      </c>
      <c r="BP19">
        <v>6.8</v>
      </c>
      <c r="BQ19">
        <v>10.199999999999999</v>
      </c>
      <c r="BR19">
        <v>10.199999999999999</v>
      </c>
      <c r="BS19">
        <v>60.6</v>
      </c>
      <c r="BT19">
        <v>21</v>
      </c>
      <c r="BU19">
        <v>52.1</v>
      </c>
      <c r="BV19">
        <v>34.5</v>
      </c>
      <c r="BW19">
        <v>5</v>
      </c>
      <c r="BX19">
        <v>3.7</v>
      </c>
      <c r="BY19" t="s">
        <v>231</v>
      </c>
    </row>
    <row r="20" spans="1:77" x14ac:dyDescent="0.35">
      <c r="A20">
        <v>2</v>
      </c>
      <c r="B20" s="23" t="s">
        <v>232</v>
      </c>
      <c r="C20" t="s">
        <v>233</v>
      </c>
      <c r="D20">
        <v>73</v>
      </c>
      <c r="E20" s="23" t="s">
        <v>110</v>
      </c>
      <c r="F20" t="s">
        <v>234</v>
      </c>
      <c r="G20" t="s">
        <v>235</v>
      </c>
      <c r="H20" t="s">
        <v>82</v>
      </c>
      <c r="I20" t="s">
        <v>164</v>
      </c>
      <c r="K20" t="s">
        <v>236</v>
      </c>
      <c r="O20" s="23">
        <v>88</v>
      </c>
      <c r="P20">
        <v>97</v>
      </c>
      <c r="Q20">
        <v>94</v>
      </c>
      <c r="R20">
        <v>10</v>
      </c>
      <c r="S20" s="2">
        <v>44489</v>
      </c>
      <c r="T20" s="2">
        <v>44519</v>
      </c>
      <c r="U20">
        <v>29</v>
      </c>
      <c r="W20" t="s">
        <v>207</v>
      </c>
      <c r="Z20" t="s">
        <v>170</v>
      </c>
      <c r="AA20" t="s">
        <v>104</v>
      </c>
      <c r="AB20">
        <v>23</v>
      </c>
      <c r="AC20" t="s">
        <v>237</v>
      </c>
      <c r="AD20" s="28">
        <v>126</v>
      </c>
      <c r="AE20">
        <v>160</v>
      </c>
      <c r="AF20">
        <v>4.3</v>
      </c>
      <c r="AG20">
        <v>11.1</v>
      </c>
      <c r="AH20">
        <v>12</v>
      </c>
      <c r="AI20">
        <v>2</v>
      </c>
      <c r="AJ20">
        <v>75</v>
      </c>
      <c r="AK20">
        <v>83</v>
      </c>
      <c r="AL20">
        <v>11</v>
      </c>
      <c r="AM20">
        <v>8</v>
      </c>
      <c r="AN20">
        <v>14</v>
      </c>
      <c r="AO20">
        <v>10</v>
      </c>
      <c r="AP20">
        <v>12</v>
      </c>
      <c r="AQ20" s="23">
        <v>6</v>
      </c>
      <c r="AR20">
        <v>198</v>
      </c>
      <c r="AU20">
        <v>645.98</v>
      </c>
      <c r="AX20">
        <v>0.16</v>
      </c>
      <c r="AY20" s="28">
        <v>36</v>
      </c>
      <c r="AZ20">
        <v>46</v>
      </c>
      <c r="BA20">
        <v>9.6</v>
      </c>
      <c r="BB20">
        <v>10.1</v>
      </c>
      <c r="BC20" s="23">
        <v>5.6</v>
      </c>
      <c r="BD20">
        <v>2.14</v>
      </c>
      <c r="BE20">
        <v>0.93</v>
      </c>
      <c r="BF20">
        <v>0.97</v>
      </c>
      <c r="BG20">
        <v>50</v>
      </c>
      <c r="BH20">
        <v>54</v>
      </c>
      <c r="BI20">
        <v>6.1</v>
      </c>
      <c r="BJ20">
        <v>7.6</v>
      </c>
      <c r="BK20">
        <v>137</v>
      </c>
      <c r="BL20">
        <v>103</v>
      </c>
      <c r="BM20">
        <v>25.5</v>
      </c>
      <c r="BN20">
        <v>27.2</v>
      </c>
      <c r="BO20">
        <v>10.199999999999999</v>
      </c>
      <c r="BQ20">
        <v>15.3</v>
      </c>
      <c r="BS20">
        <v>12</v>
      </c>
      <c r="BT20">
        <v>17.579999999999998</v>
      </c>
      <c r="BU20">
        <v>29.6</v>
      </c>
      <c r="BV20">
        <v>20.5</v>
      </c>
      <c r="BW20">
        <v>3.2</v>
      </c>
      <c r="BX20">
        <v>4.7</v>
      </c>
      <c r="BY20" t="s">
        <v>238</v>
      </c>
    </row>
    <row r="21" spans="1:77" x14ac:dyDescent="0.35">
      <c r="A21">
        <v>2</v>
      </c>
      <c r="B21" s="23" t="s">
        <v>239</v>
      </c>
      <c r="C21" t="s">
        <v>240</v>
      </c>
      <c r="D21">
        <v>67</v>
      </c>
      <c r="E21" s="23" t="s">
        <v>79</v>
      </c>
      <c r="F21" t="s">
        <v>241</v>
      </c>
      <c r="G21" t="s">
        <v>242</v>
      </c>
      <c r="H21" t="s">
        <v>163</v>
      </c>
      <c r="I21" t="s">
        <v>113</v>
      </c>
      <c r="K21" t="s">
        <v>243</v>
      </c>
    </row>
    <row r="22" spans="1:77" x14ac:dyDescent="0.35">
      <c r="A22">
        <v>2</v>
      </c>
      <c r="B22" s="23" t="s">
        <v>244</v>
      </c>
      <c r="C22" t="s">
        <v>245</v>
      </c>
      <c r="D22">
        <v>48</v>
      </c>
      <c r="E22" s="23" t="s">
        <v>110</v>
      </c>
      <c r="F22">
        <v>688280258</v>
      </c>
      <c r="G22" t="s">
        <v>246</v>
      </c>
      <c r="H22" t="s">
        <v>163</v>
      </c>
      <c r="I22" t="s">
        <v>164</v>
      </c>
      <c r="O22" s="23">
        <v>95</v>
      </c>
      <c r="Q22">
        <v>96</v>
      </c>
      <c r="R22">
        <v>7</v>
      </c>
      <c r="S22" s="2">
        <v>44503</v>
      </c>
      <c r="T22" s="2">
        <v>44516</v>
      </c>
      <c r="U22">
        <v>13</v>
      </c>
      <c r="X22" t="s">
        <v>178</v>
      </c>
      <c r="Y22" s="12" t="s">
        <v>190</v>
      </c>
      <c r="Z22" t="s">
        <v>104</v>
      </c>
      <c r="AA22" t="s">
        <v>171</v>
      </c>
      <c r="AC22" t="s">
        <v>247</v>
      </c>
      <c r="AD22" s="28">
        <v>132</v>
      </c>
      <c r="AE22">
        <v>154</v>
      </c>
      <c r="AF22">
        <v>4.0999999999999996</v>
      </c>
      <c r="AG22">
        <v>7.7</v>
      </c>
      <c r="AH22">
        <v>8</v>
      </c>
      <c r="AI22">
        <v>9</v>
      </c>
      <c r="AJ22">
        <v>64</v>
      </c>
      <c r="AK22">
        <v>77</v>
      </c>
      <c r="AL22">
        <v>24</v>
      </c>
      <c r="AM22">
        <v>14</v>
      </c>
      <c r="AN22">
        <v>13</v>
      </c>
      <c r="AO22">
        <v>6</v>
      </c>
      <c r="AP22">
        <v>12</v>
      </c>
      <c r="AQ22" s="23">
        <v>6</v>
      </c>
      <c r="AU22">
        <v>145.80000000000001</v>
      </c>
      <c r="AY22" s="28">
        <v>52</v>
      </c>
      <c r="AZ22">
        <v>40</v>
      </c>
      <c r="BA22">
        <v>11.1</v>
      </c>
      <c r="BB22">
        <v>10.1</v>
      </c>
      <c r="BC22" s="23">
        <v>4.41</v>
      </c>
      <c r="BD22">
        <v>3.92</v>
      </c>
      <c r="BE22">
        <v>1.06</v>
      </c>
      <c r="BF22">
        <v>0.97</v>
      </c>
      <c r="BG22">
        <v>70</v>
      </c>
      <c r="BH22">
        <v>56</v>
      </c>
      <c r="BI22">
        <v>7.7</v>
      </c>
      <c r="BJ22">
        <v>6.9</v>
      </c>
      <c r="BK22">
        <v>87.7</v>
      </c>
      <c r="BL22">
        <v>78</v>
      </c>
      <c r="BM22">
        <v>18.7</v>
      </c>
      <c r="BN22">
        <v>15.3</v>
      </c>
      <c r="BO22">
        <v>8.5</v>
      </c>
      <c r="BP22">
        <v>5.0999999999999996</v>
      </c>
      <c r="BQ22">
        <v>10.199999999999999</v>
      </c>
      <c r="BR22">
        <v>10.199999999999999</v>
      </c>
      <c r="BS22">
        <v>59.6</v>
      </c>
      <c r="BT22">
        <v>129.69</v>
      </c>
      <c r="BU22">
        <v>20.8</v>
      </c>
      <c r="BV22">
        <v>38.4</v>
      </c>
      <c r="BW22">
        <v>5.4</v>
      </c>
      <c r="BX22">
        <v>3.9</v>
      </c>
    </row>
    <row r="23" spans="1:77" x14ac:dyDescent="0.35">
      <c r="A23">
        <v>2</v>
      </c>
      <c r="B23" s="23" t="s">
        <v>248</v>
      </c>
      <c r="C23" t="s">
        <v>249</v>
      </c>
      <c r="D23">
        <v>64</v>
      </c>
      <c r="E23" s="23" t="s">
        <v>110</v>
      </c>
      <c r="F23" t="s">
        <v>250</v>
      </c>
      <c r="G23" t="s">
        <v>246</v>
      </c>
      <c r="H23" t="s">
        <v>163</v>
      </c>
      <c r="I23" t="s">
        <v>113</v>
      </c>
      <c r="K23" t="s">
        <v>251</v>
      </c>
      <c r="L23" s="4">
        <v>0.05</v>
      </c>
      <c r="M23" s="23" t="s">
        <v>167</v>
      </c>
      <c r="N23" t="s">
        <v>252</v>
      </c>
      <c r="O23" s="23">
        <v>96</v>
      </c>
      <c r="Q23">
        <v>98</v>
      </c>
      <c r="R23">
        <v>14</v>
      </c>
      <c r="S23" s="2">
        <v>44516</v>
      </c>
      <c r="T23" s="2">
        <v>44519</v>
      </c>
      <c r="U23">
        <v>3</v>
      </c>
      <c r="W23" t="s">
        <v>253</v>
      </c>
      <c r="Y23" t="s">
        <v>190</v>
      </c>
      <c r="Z23" t="s">
        <v>136</v>
      </c>
      <c r="AA23" t="s">
        <v>171</v>
      </c>
      <c r="AC23" t="s">
        <v>254</v>
      </c>
      <c r="AD23" s="28">
        <v>127</v>
      </c>
      <c r="AE23">
        <v>145</v>
      </c>
      <c r="AF23">
        <v>5.0999999999999996</v>
      </c>
      <c r="AG23">
        <v>9.4</v>
      </c>
      <c r="AH23">
        <v>9</v>
      </c>
      <c r="AI23">
        <v>7</v>
      </c>
      <c r="AJ23">
        <v>74</v>
      </c>
      <c r="AK23">
        <v>86</v>
      </c>
      <c r="AL23">
        <v>22.8</v>
      </c>
      <c r="AM23">
        <v>4</v>
      </c>
      <c r="AN23">
        <v>10</v>
      </c>
      <c r="AO23">
        <v>18</v>
      </c>
      <c r="AQ23" s="23">
        <v>72</v>
      </c>
      <c r="AR23">
        <v>17.7</v>
      </c>
      <c r="AY23" s="28">
        <v>42</v>
      </c>
      <c r="AZ23">
        <v>40.799999999999997</v>
      </c>
      <c r="BA23">
        <v>18</v>
      </c>
      <c r="BB23">
        <v>17</v>
      </c>
      <c r="BC23" s="23">
        <v>2.8</v>
      </c>
      <c r="BD23">
        <v>3.1</v>
      </c>
      <c r="BF23">
        <v>1.3</v>
      </c>
      <c r="BG23">
        <v>79.2</v>
      </c>
      <c r="BH23">
        <v>68</v>
      </c>
      <c r="BI23">
        <v>5.9</v>
      </c>
      <c r="BJ23">
        <v>6.7</v>
      </c>
      <c r="BK23">
        <v>93.9</v>
      </c>
      <c r="BL23">
        <v>83</v>
      </c>
      <c r="BM23">
        <v>7.95</v>
      </c>
      <c r="BN23">
        <v>7.4</v>
      </c>
      <c r="BO23">
        <v>2.85</v>
      </c>
      <c r="BP23">
        <v>2</v>
      </c>
      <c r="BQ23">
        <v>5.0999999999999996</v>
      </c>
      <c r="BS23">
        <v>41.4</v>
      </c>
      <c r="BT23">
        <v>102</v>
      </c>
      <c r="BU23">
        <v>25</v>
      </c>
      <c r="BV23">
        <v>62</v>
      </c>
      <c r="BW23">
        <v>6</v>
      </c>
      <c r="BX23">
        <v>14.3</v>
      </c>
      <c r="BY23" t="s">
        <v>255</v>
      </c>
    </row>
    <row r="24" spans="1:77" x14ac:dyDescent="0.35">
      <c r="A24">
        <v>2</v>
      </c>
      <c r="B24" s="23">
        <v>2320</v>
      </c>
      <c r="C24" t="s">
        <v>256</v>
      </c>
      <c r="D24">
        <v>62</v>
      </c>
      <c r="E24" s="23" t="s">
        <v>110</v>
      </c>
      <c r="F24" t="s">
        <v>257</v>
      </c>
      <c r="G24" t="s">
        <v>246</v>
      </c>
      <c r="H24" t="s">
        <v>163</v>
      </c>
      <c r="I24" t="s">
        <v>199</v>
      </c>
      <c r="K24" t="s">
        <v>251</v>
      </c>
      <c r="L24" s="4">
        <v>0.25</v>
      </c>
      <c r="M24" s="23" t="s">
        <v>258</v>
      </c>
      <c r="O24" s="23">
        <v>98</v>
      </c>
      <c r="Q24">
        <v>97</v>
      </c>
      <c r="R24">
        <v>4</v>
      </c>
      <c r="S24" s="2">
        <v>44429</v>
      </c>
      <c r="T24" s="2">
        <v>44441</v>
      </c>
      <c r="U24">
        <v>12</v>
      </c>
      <c r="W24" t="s">
        <v>259</v>
      </c>
      <c r="Y24" t="s">
        <v>215</v>
      </c>
      <c r="Z24" t="s">
        <v>104</v>
      </c>
      <c r="AA24" t="s">
        <v>104</v>
      </c>
      <c r="AC24" t="s">
        <v>260</v>
      </c>
      <c r="AD24" s="28">
        <v>144</v>
      </c>
      <c r="AE24">
        <v>150</v>
      </c>
      <c r="AF24">
        <v>4.2</v>
      </c>
      <c r="AG24">
        <v>6.8</v>
      </c>
      <c r="AH24">
        <v>8</v>
      </c>
      <c r="AI24">
        <v>8</v>
      </c>
      <c r="AJ24">
        <v>58</v>
      </c>
      <c r="AK24">
        <v>73</v>
      </c>
      <c r="AL24">
        <v>29</v>
      </c>
      <c r="AM24">
        <v>16</v>
      </c>
      <c r="AN24">
        <v>11</v>
      </c>
      <c r="AO24">
        <v>21</v>
      </c>
      <c r="AY24" s="28">
        <v>40</v>
      </c>
      <c r="AZ24">
        <v>48</v>
      </c>
      <c r="BA24">
        <v>20</v>
      </c>
      <c r="BB24">
        <v>23</v>
      </c>
      <c r="BC24" s="23">
        <v>6.9</v>
      </c>
      <c r="BD24">
        <v>1.7</v>
      </c>
      <c r="BG24">
        <v>58</v>
      </c>
      <c r="BH24">
        <v>64</v>
      </c>
      <c r="BI24">
        <v>4.5999999999999996</v>
      </c>
      <c r="BJ24">
        <v>5</v>
      </c>
      <c r="BK24">
        <v>73</v>
      </c>
      <c r="BL24">
        <v>77</v>
      </c>
      <c r="BM24">
        <v>15.3</v>
      </c>
      <c r="BN24">
        <v>15.3</v>
      </c>
      <c r="BO24">
        <v>5.0999999999999996</v>
      </c>
      <c r="BP24">
        <v>5.0999999999999996</v>
      </c>
      <c r="BQ24">
        <v>10.199999999999999</v>
      </c>
      <c r="BR24">
        <v>10.199999999999999</v>
      </c>
      <c r="BS24">
        <v>0.8</v>
      </c>
      <c r="BT24">
        <v>2.5</v>
      </c>
      <c r="BU24">
        <v>0.6</v>
      </c>
      <c r="BV24">
        <v>2.4</v>
      </c>
      <c r="BW24">
        <v>6.9</v>
      </c>
      <c r="BX24">
        <v>6.9</v>
      </c>
      <c r="BY24" t="s">
        <v>261</v>
      </c>
    </row>
    <row r="25" spans="1:77" x14ac:dyDescent="0.35">
      <c r="A25">
        <v>2</v>
      </c>
      <c r="B25" s="23">
        <v>2252</v>
      </c>
      <c r="C25" t="s">
        <v>262</v>
      </c>
      <c r="D25">
        <v>61</v>
      </c>
      <c r="E25" s="23" t="s">
        <v>79</v>
      </c>
      <c r="F25" t="s">
        <v>263</v>
      </c>
      <c r="G25" t="s">
        <v>246</v>
      </c>
      <c r="H25" t="s">
        <v>163</v>
      </c>
      <c r="I25" t="s">
        <v>199</v>
      </c>
      <c r="K25" t="s">
        <v>264</v>
      </c>
      <c r="L25" t="s">
        <v>265</v>
      </c>
      <c r="M25" s="23" t="s">
        <v>82</v>
      </c>
      <c r="O25" s="23">
        <v>89</v>
      </c>
      <c r="P25">
        <v>96</v>
      </c>
      <c r="Q25">
        <v>98</v>
      </c>
      <c r="R25">
        <v>14</v>
      </c>
      <c r="S25" s="2">
        <v>44432</v>
      </c>
      <c r="T25" s="2">
        <v>44446</v>
      </c>
      <c r="U25">
        <v>14</v>
      </c>
      <c r="X25" t="s">
        <v>266</v>
      </c>
      <c r="Y25" t="s">
        <v>207</v>
      </c>
      <c r="Z25" t="s">
        <v>267</v>
      </c>
      <c r="AA25" t="s">
        <v>119</v>
      </c>
      <c r="AB25">
        <v>11</v>
      </c>
      <c r="AC25" t="s">
        <v>268</v>
      </c>
      <c r="AD25" s="28">
        <v>116</v>
      </c>
      <c r="AE25">
        <v>136</v>
      </c>
      <c r="AF25">
        <v>4.7</v>
      </c>
      <c r="AG25">
        <v>8.1</v>
      </c>
      <c r="AH25">
        <v>16</v>
      </c>
      <c r="AI25">
        <v>7</v>
      </c>
      <c r="AJ25">
        <v>74</v>
      </c>
      <c r="AK25">
        <v>61</v>
      </c>
      <c r="AL25">
        <v>10</v>
      </c>
      <c r="AM25">
        <v>29</v>
      </c>
      <c r="AN25">
        <v>62</v>
      </c>
      <c r="AO25">
        <v>44</v>
      </c>
      <c r="AY25" s="28">
        <v>35</v>
      </c>
      <c r="AZ25">
        <v>40</v>
      </c>
      <c r="BA25">
        <v>19</v>
      </c>
      <c r="BB25">
        <v>23</v>
      </c>
      <c r="BC25" s="23">
        <v>3.55</v>
      </c>
      <c r="BD25">
        <v>8.8800000000000008</v>
      </c>
      <c r="BG25">
        <v>64</v>
      </c>
      <c r="BH25">
        <v>56</v>
      </c>
      <c r="BI25">
        <v>12</v>
      </c>
      <c r="BJ25">
        <v>10</v>
      </c>
      <c r="BK25">
        <v>213</v>
      </c>
      <c r="BL25">
        <v>130</v>
      </c>
      <c r="BM25">
        <v>13.6</v>
      </c>
      <c r="BN25">
        <v>13.6</v>
      </c>
      <c r="BO25">
        <v>3.4</v>
      </c>
      <c r="BP25">
        <v>3.4</v>
      </c>
      <c r="BQ25">
        <v>10.199999999999999</v>
      </c>
      <c r="BR25">
        <v>10.199999999999999</v>
      </c>
      <c r="BS25">
        <v>2.4</v>
      </c>
      <c r="BT25">
        <v>2.6</v>
      </c>
      <c r="BU25">
        <v>2.2999999999999998</v>
      </c>
      <c r="BV25">
        <v>2.5</v>
      </c>
      <c r="BW25">
        <v>15.7</v>
      </c>
      <c r="BX25">
        <v>12</v>
      </c>
      <c r="BY25" t="s">
        <v>269</v>
      </c>
    </row>
    <row r="26" spans="1:77" x14ac:dyDescent="0.35">
      <c r="A26">
        <v>2</v>
      </c>
      <c r="B26" s="23" t="s">
        <v>270</v>
      </c>
      <c r="C26" t="s">
        <v>271</v>
      </c>
      <c r="D26">
        <v>68</v>
      </c>
      <c r="E26" s="23" t="s">
        <v>79</v>
      </c>
      <c r="F26" t="s">
        <v>272</v>
      </c>
      <c r="G26" t="s">
        <v>246</v>
      </c>
      <c r="H26" t="s">
        <v>163</v>
      </c>
      <c r="I26" t="s">
        <v>113</v>
      </c>
      <c r="K26" t="s">
        <v>273</v>
      </c>
      <c r="O26" s="23">
        <v>93</v>
      </c>
      <c r="Q26">
        <v>94</v>
      </c>
      <c r="R26">
        <v>10</v>
      </c>
      <c r="S26" s="2">
        <v>44439</v>
      </c>
      <c r="T26" s="2">
        <v>44449</v>
      </c>
      <c r="U26">
        <v>10</v>
      </c>
      <c r="X26" t="s">
        <v>178</v>
      </c>
      <c r="Z26" t="s">
        <v>119</v>
      </c>
      <c r="AA26" t="s">
        <v>104</v>
      </c>
      <c r="AC26" t="s">
        <v>274</v>
      </c>
      <c r="AD26" s="28">
        <v>160</v>
      </c>
      <c r="AE26">
        <v>141</v>
      </c>
      <c r="AF26">
        <v>9.3000000000000007</v>
      </c>
      <c r="AG26">
        <v>6.7</v>
      </c>
      <c r="AH26">
        <v>12</v>
      </c>
      <c r="AI26">
        <v>4</v>
      </c>
      <c r="AJ26">
        <v>60</v>
      </c>
      <c r="AK26">
        <v>82</v>
      </c>
      <c r="AL26">
        <v>26</v>
      </c>
      <c r="AM26">
        <v>12</v>
      </c>
      <c r="AN26">
        <v>59</v>
      </c>
      <c r="AO26">
        <v>34</v>
      </c>
      <c r="AY26" s="28">
        <v>46</v>
      </c>
      <c r="AZ26">
        <v>48</v>
      </c>
      <c r="BA26">
        <v>24</v>
      </c>
      <c r="BB26">
        <v>19</v>
      </c>
      <c r="BC26" s="23">
        <v>8.36</v>
      </c>
      <c r="BD26">
        <v>7.98</v>
      </c>
      <c r="BG26">
        <v>66</v>
      </c>
      <c r="BH26">
        <v>60</v>
      </c>
      <c r="BI26">
        <v>9.9</v>
      </c>
      <c r="BJ26">
        <v>6.8</v>
      </c>
      <c r="BK26">
        <v>126</v>
      </c>
      <c r="BL26">
        <v>94</v>
      </c>
      <c r="BM26">
        <v>13.6</v>
      </c>
      <c r="BN26">
        <v>15.3</v>
      </c>
      <c r="BO26">
        <v>3.4</v>
      </c>
      <c r="BP26">
        <v>5.0999999999999996</v>
      </c>
      <c r="BQ26">
        <v>10.199999999999999</v>
      </c>
      <c r="BR26">
        <v>10.199999999999999</v>
      </c>
      <c r="BS26">
        <v>2.5</v>
      </c>
      <c r="BT26">
        <v>2</v>
      </c>
      <c r="BU26">
        <v>2.4</v>
      </c>
      <c r="BV26">
        <v>1.8</v>
      </c>
      <c r="BW26">
        <v>7.5</v>
      </c>
      <c r="BX26">
        <v>8.9</v>
      </c>
      <c r="BY26" t="s">
        <v>275</v>
      </c>
    </row>
    <row r="27" spans="1:77" x14ac:dyDescent="0.35">
      <c r="A27">
        <v>2</v>
      </c>
      <c r="B27" s="23" t="s">
        <v>276</v>
      </c>
      <c r="C27" t="s">
        <v>277</v>
      </c>
      <c r="D27">
        <v>56</v>
      </c>
      <c r="E27" s="23" t="s">
        <v>110</v>
      </c>
      <c r="F27" t="s">
        <v>278</v>
      </c>
      <c r="G27" t="s">
        <v>246</v>
      </c>
      <c r="H27" t="s">
        <v>163</v>
      </c>
      <c r="I27" t="s">
        <v>199</v>
      </c>
      <c r="K27" t="s">
        <v>279</v>
      </c>
      <c r="O27" s="23">
        <v>95</v>
      </c>
      <c r="Q27">
        <v>96</v>
      </c>
      <c r="R27">
        <v>7</v>
      </c>
      <c r="S27" s="2">
        <v>44442</v>
      </c>
      <c r="T27" s="2">
        <v>44453</v>
      </c>
      <c r="U27">
        <v>11</v>
      </c>
      <c r="W27" t="s">
        <v>259</v>
      </c>
      <c r="Y27" t="s">
        <v>253</v>
      </c>
      <c r="Z27" t="s">
        <v>119</v>
      </c>
      <c r="AA27" t="s">
        <v>104</v>
      </c>
      <c r="AC27" t="s">
        <v>280</v>
      </c>
      <c r="AE27">
        <v>142</v>
      </c>
      <c r="AG27">
        <v>3.6</v>
      </c>
      <c r="AI27">
        <v>4</v>
      </c>
      <c r="AK27">
        <v>55</v>
      </c>
      <c r="AM27">
        <v>39</v>
      </c>
      <c r="AO27">
        <v>5</v>
      </c>
      <c r="AZ27">
        <v>44</v>
      </c>
      <c r="BB27">
        <v>22</v>
      </c>
      <c r="BD27">
        <v>5.0999999999999996</v>
      </c>
      <c r="BG27">
        <v>76</v>
      </c>
      <c r="BH27">
        <v>68</v>
      </c>
      <c r="BI27">
        <v>7.2</v>
      </c>
      <c r="BJ27">
        <v>5</v>
      </c>
      <c r="BK27">
        <v>100</v>
      </c>
      <c r="BL27">
        <v>77</v>
      </c>
      <c r="BM27">
        <v>15.3</v>
      </c>
      <c r="BN27">
        <v>15.3</v>
      </c>
      <c r="BO27">
        <v>5.0999999999999996</v>
      </c>
      <c r="BP27">
        <v>5.0999999999999996</v>
      </c>
      <c r="BQ27">
        <v>10.199999999999999</v>
      </c>
      <c r="BR27">
        <v>10.199999999999999</v>
      </c>
      <c r="BS27">
        <v>2.8</v>
      </c>
      <c r="BT27">
        <v>3</v>
      </c>
      <c r="BU27">
        <v>2.7</v>
      </c>
      <c r="BV27">
        <v>2.9</v>
      </c>
      <c r="BW27">
        <v>6</v>
      </c>
      <c r="BX27">
        <v>5.6</v>
      </c>
    </row>
    <row r="28" spans="1:77" x14ac:dyDescent="0.35">
      <c r="A28">
        <v>2</v>
      </c>
      <c r="B28" s="23" t="s">
        <v>281</v>
      </c>
      <c r="C28" t="s">
        <v>282</v>
      </c>
      <c r="D28">
        <v>60</v>
      </c>
      <c r="E28" s="23" t="s">
        <v>110</v>
      </c>
      <c r="F28" t="s">
        <v>283</v>
      </c>
      <c r="G28" t="s">
        <v>246</v>
      </c>
      <c r="H28" t="s">
        <v>163</v>
      </c>
      <c r="I28" t="s">
        <v>113</v>
      </c>
      <c r="K28" t="s">
        <v>284</v>
      </c>
      <c r="L28" t="s">
        <v>285</v>
      </c>
      <c r="M28" s="23" t="s">
        <v>258</v>
      </c>
      <c r="O28" s="23">
        <v>96</v>
      </c>
      <c r="Q28">
        <v>97</v>
      </c>
      <c r="R28">
        <v>10</v>
      </c>
      <c r="S28" s="2">
        <v>44446</v>
      </c>
      <c r="T28" s="2">
        <v>44454</v>
      </c>
      <c r="U28">
        <v>8</v>
      </c>
      <c r="W28" t="s">
        <v>259</v>
      </c>
      <c r="Y28" t="s">
        <v>286</v>
      </c>
      <c r="Z28" t="s">
        <v>119</v>
      </c>
      <c r="AA28" t="s">
        <v>104</v>
      </c>
      <c r="AC28" t="s">
        <v>287</v>
      </c>
      <c r="AD28" s="28">
        <v>146</v>
      </c>
      <c r="AE28">
        <v>117</v>
      </c>
      <c r="AF28">
        <v>7.3</v>
      </c>
      <c r="AG28">
        <v>8.3000000000000007</v>
      </c>
      <c r="AH28">
        <v>9</v>
      </c>
      <c r="AI28">
        <v>2</v>
      </c>
      <c r="AJ28">
        <v>65</v>
      </c>
      <c r="AK28">
        <v>78</v>
      </c>
      <c r="AL28">
        <v>21</v>
      </c>
      <c r="AM28">
        <v>12</v>
      </c>
      <c r="AN28">
        <v>26</v>
      </c>
      <c r="AO28">
        <v>13</v>
      </c>
      <c r="AY28" s="28">
        <v>40</v>
      </c>
      <c r="AZ28">
        <v>40</v>
      </c>
      <c r="BA28">
        <v>23</v>
      </c>
      <c r="BB28">
        <v>20</v>
      </c>
      <c r="BC28" s="23">
        <v>4.88</v>
      </c>
      <c r="BD28">
        <v>4.21</v>
      </c>
      <c r="BG28">
        <v>60</v>
      </c>
      <c r="BH28">
        <v>68</v>
      </c>
      <c r="BI28">
        <v>4.5</v>
      </c>
      <c r="BK28">
        <v>72</v>
      </c>
      <c r="BM28">
        <v>15.3</v>
      </c>
      <c r="BN28">
        <v>18.7</v>
      </c>
      <c r="BO28">
        <v>5.0999999999999996</v>
      </c>
      <c r="BP28">
        <v>5.0999999999999996</v>
      </c>
      <c r="BQ28">
        <v>10.199999999999999</v>
      </c>
      <c r="BR28">
        <v>13.6</v>
      </c>
      <c r="BS28">
        <v>2.2000000000000002</v>
      </c>
      <c r="BT28">
        <v>2.2000000000000002</v>
      </c>
      <c r="BU28">
        <v>2.1</v>
      </c>
      <c r="BV28">
        <v>2.1</v>
      </c>
      <c r="BW28">
        <v>10</v>
      </c>
      <c r="BX28">
        <v>12</v>
      </c>
    </row>
    <row r="29" spans="1:77" x14ac:dyDescent="0.35">
      <c r="A29">
        <v>2</v>
      </c>
      <c r="B29" s="23" t="s">
        <v>288</v>
      </c>
      <c r="C29" t="s">
        <v>289</v>
      </c>
      <c r="D29">
        <v>56</v>
      </c>
      <c r="E29" s="23" t="s">
        <v>110</v>
      </c>
      <c r="F29" t="s">
        <v>290</v>
      </c>
      <c r="G29" t="s">
        <v>246</v>
      </c>
      <c r="H29" t="s">
        <v>163</v>
      </c>
      <c r="I29" t="s">
        <v>199</v>
      </c>
      <c r="K29" t="s">
        <v>223</v>
      </c>
      <c r="L29" s="4">
        <v>0.4</v>
      </c>
      <c r="M29" s="23" t="s">
        <v>258</v>
      </c>
      <c r="O29" s="23">
        <v>97</v>
      </c>
      <c r="Q29">
        <v>96</v>
      </c>
      <c r="R29">
        <v>10</v>
      </c>
      <c r="S29" s="2">
        <v>44440</v>
      </c>
      <c r="T29" s="2">
        <v>44450</v>
      </c>
      <c r="U29">
        <v>10</v>
      </c>
      <c r="X29" t="s">
        <v>291</v>
      </c>
      <c r="Z29" t="s">
        <v>104</v>
      </c>
      <c r="AA29" t="s">
        <v>104</v>
      </c>
      <c r="AC29" t="s">
        <v>292</v>
      </c>
      <c r="AD29" s="28">
        <v>144</v>
      </c>
      <c r="AE29">
        <v>128</v>
      </c>
      <c r="AF29">
        <v>4.7</v>
      </c>
      <c r="AG29">
        <v>6.7</v>
      </c>
      <c r="AH29">
        <v>25</v>
      </c>
      <c r="AI29">
        <v>2</v>
      </c>
      <c r="AJ29">
        <v>65</v>
      </c>
      <c r="AK29">
        <v>42</v>
      </c>
      <c r="AL29">
        <v>6</v>
      </c>
      <c r="AM29">
        <v>50</v>
      </c>
      <c r="AN29">
        <v>6</v>
      </c>
      <c r="AO29">
        <v>15</v>
      </c>
      <c r="AY29" s="28">
        <v>48</v>
      </c>
      <c r="AZ29">
        <v>48</v>
      </c>
      <c r="BA29">
        <v>19</v>
      </c>
      <c r="BB29">
        <v>20</v>
      </c>
      <c r="BC29" s="23">
        <v>7.77</v>
      </c>
      <c r="BD29">
        <v>4.2</v>
      </c>
      <c r="BG29">
        <v>64</v>
      </c>
      <c r="BH29">
        <v>70</v>
      </c>
      <c r="BI29">
        <v>5.0999999999999996</v>
      </c>
      <c r="BJ29">
        <v>7.8</v>
      </c>
      <c r="BK29">
        <v>78</v>
      </c>
      <c r="BL29">
        <v>105</v>
      </c>
      <c r="BM29">
        <v>42.6</v>
      </c>
      <c r="BN29">
        <v>15.3</v>
      </c>
      <c r="BO29">
        <v>5.0999999999999996</v>
      </c>
      <c r="BP29">
        <v>5.0999999999999996</v>
      </c>
      <c r="BQ29">
        <v>10.199999999999999</v>
      </c>
      <c r="BR29">
        <v>10.199999999999999</v>
      </c>
      <c r="BS29">
        <v>0.8</v>
      </c>
      <c r="BT29">
        <v>1.6</v>
      </c>
      <c r="BU29">
        <v>0.6</v>
      </c>
      <c r="BV29">
        <v>1.4</v>
      </c>
      <c r="BW29">
        <v>6.9</v>
      </c>
      <c r="BX29">
        <v>6.25</v>
      </c>
    </row>
    <row r="30" spans="1:77" x14ac:dyDescent="0.35">
      <c r="A30">
        <v>2</v>
      </c>
      <c r="B30" s="23" t="s">
        <v>293</v>
      </c>
      <c r="C30" t="s">
        <v>294</v>
      </c>
      <c r="D30">
        <v>44</v>
      </c>
      <c r="E30" s="23" t="s">
        <v>110</v>
      </c>
      <c r="F30">
        <v>506188479</v>
      </c>
      <c r="G30" t="s">
        <v>246</v>
      </c>
      <c r="H30" t="s">
        <v>163</v>
      </c>
      <c r="I30" t="s">
        <v>164</v>
      </c>
      <c r="L30" s="4">
        <v>0.08</v>
      </c>
      <c r="M30" s="23" t="s">
        <v>295</v>
      </c>
      <c r="O30" s="23">
        <v>98</v>
      </c>
      <c r="Q30">
        <v>98</v>
      </c>
      <c r="R30">
        <v>7</v>
      </c>
      <c r="S30" s="2">
        <v>44484</v>
      </c>
      <c r="T30" s="2">
        <v>44496</v>
      </c>
      <c r="U30">
        <v>12</v>
      </c>
      <c r="X30" t="s">
        <v>296</v>
      </c>
      <c r="Y30" t="s">
        <v>253</v>
      </c>
      <c r="Z30" t="s">
        <v>171</v>
      </c>
      <c r="AA30" t="s">
        <v>171</v>
      </c>
      <c r="AC30" t="s">
        <v>247</v>
      </c>
      <c r="AD30" s="28">
        <v>138</v>
      </c>
      <c r="AE30">
        <v>142</v>
      </c>
      <c r="AF30">
        <v>5.0999999999999996</v>
      </c>
      <c r="AG30">
        <v>11</v>
      </c>
      <c r="AH30">
        <v>3</v>
      </c>
      <c r="AI30">
        <v>14</v>
      </c>
      <c r="AJ30">
        <v>56</v>
      </c>
      <c r="AK30">
        <v>66</v>
      </c>
      <c r="AL30">
        <v>30</v>
      </c>
      <c r="AM30">
        <v>18</v>
      </c>
      <c r="AN30">
        <v>14</v>
      </c>
      <c r="AO30">
        <v>17</v>
      </c>
      <c r="AP30">
        <v>12</v>
      </c>
      <c r="AQ30" s="23">
        <v>6</v>
      </c>
      <c r="AY30" s="28">
        <v>44</v>
      </c>
      <c r="AZ30">
        <v>50</v>
      </c>
      <c r="BA30">
        <v>14.6</v>
      </c>
      <c r="BB30">
        <v>10.7</v>
      </c>
      <c r="BC30" s="23">
        <v>2.6</v>
      </c>
      <c r="BD30">
        <v>3.2</v>
      </c>
      <c r="BE30">
        <v>1.35</v>
      </c>
      <c r="BF30">
        <v>1.02</v>
      </c>
      <c r="BG30">
        <v>76</v>
      </c>
      <c r="BH30">
        <v>70</v>
      </c>
      <c r="BI30">
        <v>5.7</v>
      </c>
      <c r="BJ30">
        <v>5</v>
      </c>
      <c r="BK30">
        <v>101</v>
      </c>
      <c r="BL30">
        <v>94</v>
      </c>
      <c r="BM30">
        <v>17</v>
      </c>
      <c r="BN30">
        <v>18.7</v>
      </c>
      <c r="BO30">
        <v>6.8</v>
      </c>
      <c r="BQ30">
        <v>10.199999999999999</v>
      </c>
      <c r="BS30">
        <v>1</v>
      </c>
      <c r="BT30">
        <v>23.8</v>
      </c>
      <c r="BU30">
        <v>0.5</v>
      </c>
      <c r="BV30">
        <v>31.25</v>
      </c>
      <c r="BW30">
        <v>4.7</v>
      </c>
      <c r="BX30">
        <v>3.5</v>
      </c>
    </row>
    <row r="31" spans="1:77" x14ac:dyDescent="0.35">
      <c r="A31">
        <v>2</v>
      </c>
      <c r="B31" s="23" t="s">
        <v>297</v>
      </c>
      <c r="C31" t="s">
        <v>298</v>
      </c>
      <c r="D31">
        <v>69</v>
      </c>
      <c r="E31" s="23" t="s">
        <v>110</v>
      </c>
      <c r="F31" t="s">
        <v>299</v>
      </c>
      <c r="G31" t="s">
        <v>300</v>
      </c>
      <c r="H31" t="s">
        <v>82</v>
      </c>
      <c r="I31" t="s">
        <v>98</v>
      </c>
      <c r="K31" t="s">
        <v>301</v>
      </c>
      <c r="O31" s="23">
        <v>74</v>
      </c>
      <c r="P31">
        <v>88</v>
      </c>
      <c r="Q31" s="12" t="s">
        <v>302</v>
      </c>
      <c r="R31">
        <v>6</v>
      </c>
      <c r="S31" s="2">
        <v>44315</v>
      </c>
      <c r="T31" s="2">
        <v>44380</v>
      </c>
      <c r="U31">
        <v>65</v>
      </c>
      <c r="W31" t="s">
        <v>296</v>
      </c>
      <c r="X31" t="s">
        <v>303</v>
      </c>
      <c r="Y31" t="s">
        <v>304</v>
      </c>
      <c r="Z31" t="s">
        <v>104</v>
      </c>
      <c r="AA31" t="s">
        <v>104</v>
      </c>
      <c r="AB31">
        <v>65</v>
      </c>
      <c r="AC31" t="s">
        <v>305</v>
      </c>
      <c r="AD31" s="28">
        <v>126</v>
      </c>
      <c r="AE31">
        <v>122</v>
      </c>
      <c r="AF31">
        <v>3.6</v>
      </c>
      <c r="AG31">
        <v>8.6</v>
      </c>
      <c r="AH31">
        <v>26</v>
      </c>
      <c r="AI31">
        <v>9</v>
      </c>
      <c r="AJ31">
        <v>46</v>
      </c>
      <c r="AK31">
        <v>69</v>
      </c>
      <c r="AL31">
        <v>26</v>
      </c>
      <c r="AM31">
        <v>19</v>
      </c>
      <c r="AN31">
        <v>33</v>
      </c>
      <c r="AO31">
        <v>33</v>
      </c>
      <c r="AP31">
        <v>28</v>
      </c>
      <c r="AQ31" s="23">
        <v>7</v>
      </c>
      <c r="AY31" s="28">
        <v>42</v>
      </c>
      <c r="AZ31">
        <v>30</v>
      </c>
      <c r="BB31">
        <v>19</v>
      </c>
      <c r="BC31" s="23">
        <v>3.9</v>
      </c>
      <c r="BD31">
        <v>3.55</v>
      </c>
      <c r="BG31">
        <v>66</v>
      </c>
      <c r="BH31">
        <v>60</v>
      </c>
      <c r="BI31">
        <v>6</v>
      </c>
      <c r="BJ31">
        <v>6.8</v>
      </c>
      <c r="BK31">
        <v>103</v>
      </c>
      <c r="BL31">
        <v>95</v>
      </c>
      <c r="BM31">
        <v>13.6</v>
      </c>
      <c r="BN31">
        <v>10.199999999999999</v>
      </c>
      <c r="BO31">
        <v>3.4</v>
      </c>
      <c r="BP31">
        <v>3.4</v>
      </c>
      <c r="BQ31">
        <v>10.199999999999999</v>
      </c>
      <c r="BR31">
        <v>6.8</v>
      </c>
      <c r="BS31">
        <v>1.2</v>
      </c>
      <c r="BT31">
        <v>1.4</v>
      </c>
      <c r="BU31">
        <v>0.8</v>
      </c>
      <c r="BV31">
        <v>1.2</v>
      </c>
      <c r="BW31">
        <v>5.0999999999999996</v>
      </c>
      <c r="BX31">
        <v>4.5999999999999996</v>
      </c>
      <c r="BY31" t="s">
        <v>306</v>
      </c>
    </row>
    <row r="32" spans="1:77" x14ac:dyDescent="0.35">
      <c r="A32">
        <v>2</v>
      </c>
      <c r="B32" s="23">
        <v>3304</v>
      </c>
      <c r="C32" t="s">
        <v>307</v>
      </c>
      <c r="D32">
        <v>55</v>
      </c>
      <c r="E32" s="23" t="s">
        <v>110</v>
      </c>
      <c r="F32" t="s">
        <v>308</v>
      </c>
      <c r="G32" t="s">
        <v>246</v>
      </c>
      <c r="H32" t="s">
        <v>163</v>
      </c>
      <c r="I32" t="s">
        <v>199</v>
      </c>
      <c r="K32" t="s">
        <v>309</v>
      </c>
      <c r="L32" s="4">
        <v>0.3</v>
      </c>
      <c r="M32" s="23" t="s">
        <v>258</v>
      </c>
      <c r="O32" s="23">
        <v>94</v>
      </c>
      <c r="Q32">
        <v>96</v>
      </c>
      <c r="R32">
        <v>6</v>
      </c>
      <c r="S32" s="2">
        <v>44477</v>
      </c>
      <c r="T32" s="2">
        <v>44489</v>
      </c>
      <c r="U32">
        <v>12</v>
      </c>
      <c r="W32" t="s">
        <v>259</v>
      </c>
      <c r="X32" t="s">
        <v>253</v>
      </c>
      <c r="Y32" t="s">
        <v>190</v>
      </c>
      <c r="Z32" t="s">
        <v>135</v>
      </c>
      <c r="AA32" t="s">
        <v>104</v>
      </c>
      <c r="AC32" t="s">
        <v>310</v>
      </c>
      <c r="AD32" s="28">
        <v>154</v>
      </c>
      <c r="AE32">
        <v>144</v>
      </c>
      <c r="AF32">
        <v>3.7</v>
      </c>
      <c r="AG32">
        <v>15</v>
      </c>
      <c r="AH32">
        <v>13</v>
      </c>
      <c r="AI32">
        <v>14</v>
      </c>
      <c r="AJ32">
        <v>40</v>
      </c>
      <c r="AK32">
        <v>58</v>
      </c>
      <c r="AL32">
        <v>41</v>
      </c>
      <c r="AM32">
        <v>23</v>
      </c>
      <c r="AN32">
        <v>5</v>
      </c>
      <c r="AO32">
        <v>4</v>
      </c>
      <c r="AP32">
        <v>36</v>
      </c>
      <c r="AX32">
        <v>0.13</v>
      </c>
      <c r="AY32" s="28">
        <v>39</v>
      </c>
      <c r="AZ32">
        <v>44</v>
      </c>
      <c r="BA32">
        <v>11.3</v>
      </c>
      <c r="BB32">
        <v>13.3</v>
      </c>
      <c r="BC32" s="23">
        <v>4.2</v>
      </c>
      <c r="BD32">
        <v>2.9</v>
      </c>
      <c r="BE32">
        <v>1.08</v>
      </c>
      <c r="BF32">
        <v>1.24</v>
      </c>
      <c r="BG32">
        <v>58</v>
      </c>
      <c r="BH32">
        <v>60</v>
      </c>
      <c r="BI32">
        <v>5.3</v>
      </c>
      <c r="BJ32">
        <v>5.7</v>
      </c>
      <c r="BK32">
        <v>102</v>
      </c>
      <c r="BL32">
        <v>87</v>
      </c>
      <c r="BM32">
        <v>15.3</v>
      </c>
      <c r="BN32">
        <v>18.7</v>
      </c>
      <c r="BO32">
        <v>5.0999999999999996</v>
      </c>
      <c r="BP32">
        <v>6.8</v>
      </c>
      <c r="BQ32">
        <v>10.199999999999999</v>
      </c>
      <c r="BR32">
        <v>11.9</v>
      </c>
      <c r="BS32">
        <v>0.6</v>
      </c>
      <c r="BT32">
        <v>28</v>
      </c>
      <c r="BU32">
        <v>0.4</v>
      </c>
      <c r="BV32">
        <v>18</v>
      </c>
      <c r="BW32">
        <v>4.2</v>
      </c>
      <c r="BX32">
        <v>5.4</v>
      </c>
    </row>
    <row r="33" spans="1:77" x14ac:dyDescent="0.35">
      <c r="A33">
        <v>2</v>
      </c>
      <c r="B33" s="23" t="s">
        <v>311</v>
      </c>
      <c r="C33" t="s">
        <v>312</v>
      </c>
      <c r="D33">
        <v>56</v>
      </c>
      <c r="E33" s="23" t="s">
        <v>79</v>
      </c>
      <c r="F33" t="s">
        <v>313</v>
      </c>
      <c r="G33" t="s">
        <v>300</v>
      </c>
      <c r="H33" t="s">
        <v>82</v>
      </c>
      <c r="I33" t="s">
        <v>98</v>
      </c>
      <c r="K33" t="s">
        <v>314</v>
      </c>
      <c r="O33" s="23">
        <v>84</v>
      </c>
      <c r="P33">
        <v>95</v>
      </c>
      <c r="Q33">
        <v>98</v>
      </c>
      <c r="R33">
        <v>10</v>
      </c>
      <c r="S33" s="2">
        <v>44544</v>
      </c>
      <c r="T33" s="2">
        <v>44561</v>
      </c>
      <c r="U33">
        <v>17</v>
      </c>
      <c r="X33" t="s">
        <v>315</v>
      </c>
      <c r="Z33" t="s">
        <v>119</v>
      </c>
      <c r="AA33" t="s">
        <v>104</v>
      </c>
      <c r="AB33">
        <v>13</v>
      </c>
      <c r="AC33" t="s">
        <v>316</v>
      </c>
      <c r="AD33" s="28">
        <v>182</v>
      </c>
      <c r="AE33">
        <v>148</v>
      </c>
      <c r="AF33">
        <v>10.199999999999999</v>
      </c>
      <c r="AG33">
        <v>12</v>
      </c>
      <c r="AH33">
        <v>25</v>
      </c>
      <c r="AI33">
        <v>9</v>
      </c>
      <c r="AJ33">
        <v>65</v>
      </c>
      <c r="AK33">
        <v>78</v>
      </c>
      <c r="AL33">
        <v>9</v>
      </c>
      <c r="AM33">
        <v>12</v>
      </c>
      <c r="AN33">
        <v>46</v>
      </c>
      <c r="AO33">
        <v>20</v>
      </c>
      <c r="AP33">
        <v>6</v>
      </c>
      <c r="AQ33" s="23">
        <v>6</v>
      </c>
      <c r="AR33">
        <v>11.88</v>
      </c>
      <c r="AY33" s="28">
        <v>44</v>
      </c>
      <c r="AZ33">
        <v>47</v>
      </c>
      <c r="BA33">
        <v>12.2</v>
      </c>
      <c r="BB33">
        <v>12.8</v>
      </c>
      <c r="BC33" s="23">
        <v>7.16</v>
      </c>
      <c r="BD33">
        <v>3.1</v>
      </c>
      <c r="BE33">
        <v>1.18</v>
      </c>
      <c r="BF33">
        <v>1.22</v>
      </c>
      <c r="BG33">
        <v>68</v>
      </c>
      <c r="BH33">
        <v>78.099999999999994</v>
      </c>
      <c r="BI33">
        <v>12.3</v>
      </c>
      <c r="BJ33">
        <v>11.9</v>
      </c>
      <c r="BK33">
        <v>281.7</v>
      </c>
      <c r="BL33">
        <v>115.7</v>
      </c>
      <c r="BM33">
        <v>13.6</v>
      </c>
      <c r="BN33">
        <v>18.7</v>
      </c>
      <c r="BO33">
        <v>5.0999999999999996</v>
      </c>
      <c r="BP33">
        <v>6.8</v>
      </c>
      <c r="BQ33">
        <v>8.5</v>
      </c>
      <c r="BR33">
        <v>11.9</v>
      </c>
      <c r="BS33">
        <v>43.3</v>
      </c>
      <c r="BT33">
        <v>104</v>
      </c>
      <c r="BU33">
        <v>43.8</v>
      </c>
      <c r="BV33">
        <v>46.3</v>
      </c>
      <c r="BW33">
        <v>30</v>
      </c>
      <c r="BX33">
        <v>9.6999999999999993</v>
      </c>
      <c r="BY33" t="s">
        <v>317</v>
      </c>
    </row>
    <row r="34" spans="1:77" x14ac:dyDescent="0.35">
      <c r="A34">
        <v>2</v>
      </c>
      <c r="B34" s="23" t="s">
        <v>318</v>
      </c>
      <c r="C34" t="s">
        <v>319</v>
      </c>
      <c r="D34">
        <v>65</v>
      </c>
      <c r="E34" s="23" t="s">
        <v>79</v>
      </c>
      <c r="F34" t="s">
        <v>320</v>
      </c>
      <c r="G34" t="s">
        <v>246</v>
      </c>
      <c r="H34" t="s">
        <v>163</v>
      </c>
      <c r="I34" t="s">
        <v>113</v>
      </c>
      <c r="K34" t="s">
        <v>321</v>
      </c>
      <c r="O34" s="23">
        <v>89</v>
      </c>
      <c r="P34">
        <v>95</v>
      </c>
      <c r="Q34">
        <v>99</v>
      </c>
      <c r="R34">
        <v>5</v>
      </c>
      <c r="S34" s="2">
        <v>44359</v>
      </c>
      <c r="T34" s="2">
        <v>44386</v>
      </c>
      <c r="U34">
        <v>27</v>
      </c>
      <c r="W34" t="s">
        <v>322</v>
      </c>
      <c r="X34" t="s">
        <v>190</v>
      </c>
      <c r="Z34" t="s">
        <v>323</v>
      </c>
      <c r="AA34" t="s">
        <v>104</v>
      </c>
      <c r="AB34">
        <v>23</v>
      </c>
      <c r="AC34" t="s">
        <v>324</v>
      </c>
      <c r="AD34" s="28">
        <v>158</v>
      </c>
      <c r="AE34">
        <v>150</v>
      </c>
      <c r="AF34">
        <v>5.9</v>
      </c>
      <c r="AG34">
        <v>4.2</v>
      </c>
      <c r="AH34">
        <v>15</v>
      </c>
      <c r="AI34">
        <v>16</v>
      </c>
      <c r="AJ34">
        <v>57</v>
      </c>
      <c r="AK34">
        <v>54</v>
      </c>
      <c r="AL34">
        <v>19</v>
      </c>
      <c r="AM34">
        <v>26</v>
      </c>
      <c r="AN34">
        <v>5</v>
      </c>
      <c r="AO34">
        <v>41</v>
      </c>
      <c r="AP34">
        <v>20</v>
      </c>
      <c r="AY34" s="28">
        <v>51</v>
      </c>
      <c r="AZ34">
        <v>40</v>
      </c>
      <c r="BB34">
        <v>18</v>
      </c>
      <c r="BC34" s="23">
        <v>4.2</v>
      </c>
      <c r="BD34">
        <v>7.77</v>
      </c>
      <c r="BG34">
        <v>70</v>
      </c>
      <c r="BH34">
        <v>54</v>
      </c>
      <c r="BI34">
        <v>8.3000000000000007</v>
      </c>
      <c r="BJ34">
        <v>4.9000000000000004</v>
      </c>
      <c r="BK34">
        <v>158</v>
      </c>
      <c r="BL34">
        <v>73</v>
      </c>
      <c r="BM34">
        <v>15.6</v>
      </c>
      <c r="BN34">
        <v>13.6</v>
      </c>
      <c r="BO34">
        <v>5.4</v>
      </c>
      <c r="BP34">
        <v>3.4</v>
      </c>
      <c r="BQ34">
        <v>10.199999999999999</v>
      </c>
      <c r="BR34">
        <v>10.199999999999999</v>
      </c>
      <c r="BS34">
        <v>1.4</v>
      </c>
      <c r="BT34">
        <v>1.4</v>
      </c>
      <c r="BU34">
        <v>1</v>
      </c>
      <c r="BV34">
        <v>1.2</v>
      </c>
      <c r="BW34">
        <v>4.3</v>
      </c>
      <c r="BX34">
        <v>3.9</v>
      </c>
    </row>
    <row r="35" spans="1:77" x14ac:dyDescent="0.35">
      <c r="A35">
        <v>2</v>
      </c>
      <c r="B35" s="23" t="s">
        <v>325</v>
      </c>
      <c r="C35" t="s">
        <v>326</v>
      </c>
      <c r="D35">
        <v>57</v>
      </c>
      <c r="E35" s="23" t="s">
        <v>79</v>
      </c>
      <c r="F35" t="s">
        <v>327</v>
      </c>
      <c r="G35" t="s">
        <v>300</v>
      </c>
      <c r="H35" t="s">
        <v>82</v>
      </c>
      <c r="I35" t="s">
        <v>98</v>
      </c>
      <c r="K35" t="s">
        <v>328</v>
      </c>
      <c r="O35" s="23">
        <v>64</v>
      </c>
      <c r="P35">
        <v>80</v>
      </c>
      <c r="Q35">
        <v>93</v>
      </c>
      <c r="R35">
        <v>7</v>
      </c>
      <c r="S35" s="2">
        <v>44318</v>
      </c>
      <c r="T35" s="2">
        <v>44357</v>
      </c>
      <c r="U35">
        <v>39</v>
      </c>
      <c r="W35" t="s">
        <v>89</v>
      </c>
      <c r="X35" t="s">
        <v>190</v>
      </c>
      <c r="Z35" t="s">
        <v>170</v>
      </c>
      <c r="AA35" t="s">
        <v>329</v>
      </c>
      <c r="AB35">
        <v>35</v>
      </c>
      <c r="AC35" t="s">
        <v>330</v>
      </c>
      <c r="AD35" s="28">
        <v>152</v>
      </c>
      <c r="AE35">
        <v>146</v>
      </c>
      <c r="AF35">
        <v>5.8</v>
      </c>
      <c r="AG35">
        <v>16.8</v>
      </c>
      <c r="AH35">
        <v>30</v>
      </c>
      <c r="AI35">
        <v>15</v>
      </c>
      <c r="AJ35">
        <v>57</v>
      </c>
      <c r="AK35">
        <v>62</v>
      </c>
      <c r="AL35">
        <v>10</v>
      </c>
      <c r="AM35">
        <v>20</v>
      </c>
      <c r="AN35">
        <v>22</v>
      </c>
      <c r="AO35">
        <v>6</v>
      </c>
      <c r="AP35">
        <v>20</v>
      </c>
      <c r="AQ35" s="23">
        <v>45</v>
      </c>
      <c r="AX35">
        <v>0.61</v>
      </c>
      <c r="AY35" s="28">
        <v>40</v>
      </c>
      <c r="AZ35">
        <v>44</v>
      </c>
      <c r="BA35">
        <v>12.7</v>
      </c>
      <c r="BB35">
        <v>24</v>
      </c>
      <c r="BC35" s="23">
        <v>4.99</v>
      </c>
      <c r="BD35">
        <v>5.55</v>
      </c>
      <c r="BE35">
        <v>1.03</v>
      </c>
      <c r="BG35">
        <v>60</v>
      </c>
      <c r="BH35">
        <v>54</v>
      </c>
      <c r="BI35">
        <v>10.1</v>
      </c>
      <c r="BJ35">
        <v>6.4</v>
      </c>
      <c r="BK35">
        <v>149</v>
      </c>
      <c r="BL35">
        <v>77</v>
      </c>
      <c r="BM35">
        <v>60</v>
      </c>
      <c r="BN35">
        <v>15.3</v>
      </c>
      <c r="BO35">
        <v>8.5</v>
      </c>
      <c r="BP35">
        <v>5.0999999999999996</v>
      </c>
      <c r="BQ35">
        <v>10.199999999999999</v>
      </c>
      <c r="BR35">
        <v>10.199999999999999</v>
      </c>
      <c r="BS35">
        <v>1.8</v>
      </c>
      <c r="BT35">
        <v>0.6</v>
      </c>
      <c r="BU35">
        <v>1.2</v>
      </c>
      <c r="BV35">
        <v>0.4</v>
      </c>
      <c r="BW35">
        <v>11.3</v>
      </c>
      <c r="BX35">
        <v>6.1</v>
      </c>
      <c r="BY35" t="s">
        <v>331</v>
      </c>
    </row>
    <row r="36" spans="1:77" x14ac:dyDescent="0.35">
      <c r="A36">
        <v>2</v>
      </c>
      <c r="B36" s="23" t="s">
        <v>332</v>
      </c>
      <c r="C36" t="s">
        <v>333</v>
      </c>
      <c r="D36">
        <v>67</v>
      </c>
      <c r="E36" s="23" t="s">
        <v>79</v>
      </c>
      <c r="F36" t="s">
        <v>334</v>
      </c>
      <c r="G36" t="s">
        <v>246</v>
      </c>
      <c r="H36" t="s">
        <v>163</v>
      </c>
      <c r="I36" t="s">
        <v>113</v>
      </c>
      <c r="K36" t="s">
        <v>335</v>
      </c>
      <c r="N36" t="s">
        <v>336</v>
      </c>
      <c r="O36" s="23">
        <v>96</v>
      </c>
      <c r="Q36">
        <v>97</v>
      </c>
      <c r="R36">
        <v>10</v>
      </c>
      <c r="S36" s="2">
        <v>44335</v>
      </c>
      <c r="T36" s="2">
        <v>44352</v>
      </c>
      <c r="U36">
        <v>17</v>
      </c>
      <c r="X36" t="s">
        <v>259</v>
      </c>
      <c r="Y36" t="s">
        <v>337</v>
      </c>
      <c r="Z36" t="s">
        <v>338</v>
      </c>
      <c r="AA36" t="s">
        <v>104</v>
      </c>
      <c r="AC36" t="s">
        <v>339</v>
      </c>
      <c r="AD36" s="28">
        <v>134</v>
      </c>
      <c r="AE36">
        <v>102</v>
      </c>
      <c r="AF36">
        <v>3.5</v>
      </c>
      <c r="AG36">
        <v>9.6</v>
      </c>
      <c r="AH36">
        <v>21</v>
      </c>
      <c r="AI36">
        <v>16</v>
      </c>
      <c r="AJ36">
        <v>44</v>
      </c>
      <c r="AK36">
        <v>60</v>
      </c>
      <c r="AL36">
        <v>23</v>
      </c>
      <c r="AM36">
        <v>22</v>
      </c>
      <c r="AN36">
        <v>23</v>
      </c>
      <c r="AO36">
        <v>9</v>
      </c>
      <c r="AP36">
        <v>38</v>
      </c>
      <c r="AQ36" s="23">
        <v>35</v>
      </c>
      <c r="AY36" s="28">
        <v>37</v>
      </c>
      <c r="AZ36">
        <v>37</v>
      </c>
      <c r="BC36" s="23">
        <v>3.99</v>
      </c>
      <c r="BD36">
        <v>4.66</v>
      </c>
      <c r="BG36">
        <v>70</v>
      </c>
      <c r="BH36">
        <v>62</v>
      </c>
      <c r="BI36">
        <v>8.9</v>
      </c>
      <c r="BJ36">
        <v>7.1</v>
      </c>
      <c r="BK36">
        <v>163</v>
      </c>
      <c r="BL36">
        <v>125</v>
      </c>
      <c r="BM36">
        <v>13.6</v>
      </c>
      <c r="BN36">
        <v>13.6</v>
      </c>
      <c r="BO36">
        <v>3.4</v>
      </c>
      <c r="BP36">
        <v>3.4</v>
      </c>
      <c r="BQ36">
        <v>10.1</v>
      </c>
      <c r="BR36">
        <v>10.199999999999999</v>
      </c>
      <c r="BS36">
        <v>0.8</v>
      </c>
      <c r="BT36">
        <v>1.8</v>
      </c>
      <c r="BU36">
        <v>0.4</v>
      </c>
      <c r="BV36">
        <v>1.6</v>
      </c>
      <c r="BW36">
        <v>7.3</v>
      </c>
      <c r="BX36">
        <v>4.8</v>
      </c>
    </row>
    <row r="37" spans="1:77" x14ac:dyDescent="0.35">
      <c r="A37">
        <v>2</v>
      </c>
      <c r="B37" s="23" t="s">
        <v>340</v>
      </c>
      <c r="C37" t="s">
        <v>341</v>
      </c>
      <c r="D37">
        <v>65</v>
      </c>
      <c r="E37" s="23" t="s">
        <v>110</v>
      </c>
      <c r="F37" t="s">
        <v>342</v>
      </c>
      <c r="G37" t="s">
        <v>246</v>
      </c>
      <c r="H37" t="s">
        <v>163</v>
      </c>
      <c r="I37" t="s">
        <v>113</v>
      </c>
      <c r="K37" t="s">
        <v>343</v>
      </c>
      <c r="O37" s="23">
        <v>89</v>
      </c>
      <c r="P37">
        <v>96</v>
      </c>
      <c r="Q37">
        <v>93</v>
      </c>
      <c r="R37">
        <v>7</v>
      </c>
      <c r="S37" s="2">
        <v>44448</v>
      </c>
      <c r="T37" s="2">
        <v>44464</v>
      </c>
      <c r="U37">
        <v>16</v>
      </c>
      <c r="X37" t="s">
        <v>178</v>
      </c>
      <c r="Y37" t="s">
        <v>253</v>
      </c>
      <c r="Z37" t="s">
        <v>329</v>
      </c>
      <c r="AA37" t="s">
        <v>171</v>
      </c>
      <c r="AC37" t="s">
        <v>344</v>
      </c>
      <c r="AD37" s="28">
        <v>59</v>
      </c>
      <c r="AE37">
        <v>68</v>
      </c>
      <c r="AF37">
        <v>5.8</v>
      </c>
      <c r="AG37">
        <v>5.5</v>
      </c>
      <c r="AH37">
        <v>26</v>
      </c>
      <c r="AI37">
        <v>3</v>
      </c>
      <c r="AJ37">
        <v>66</v>
      </c>
      <c r="AK37">
        <v>89</v>
      </c>
      <c r="AL37">
        <v>7</v>
      </c>
      <c r="AM37">
        <v>6</v>
      </c>
      <c r="AN37">
        <v>72</v>
      </c>
      <c r="AO37">
        <v>50</v>
      </c>
      <c r="AT37" s="23">
        <v>271.10000000000002</v>
      </c>
      <c r="AY37" s="28">
        <v>30</v>
      </c>
      <c r="AZ37">
        <v>36</v>
      </c>
      <c r="BA37">
        <v>21</v>
      </c>
      <c r="BB37">
        <v>20</v>
      </c>
      <c r="BC37" s="23">
        <v>6.88</v>
      </c>
      <c r="BD37">
        <v>4.4400000000000004</v>
      </c>
      <c r="BG37">
        <v>68</v>
      </c>
      <c r="BH37">
        <v>64</v>
      </c>
      <c r="BI37">
        <v>3.1</v>
      </c>
      <c r="BK37">
        <v>58</v>
      </c>
      <c r="BL37">
        <v>68</v>
      </c>
      <c r="BM37">
        <v>15.3</v>
      </c>
      <c r="BN37">
        <v>11.9</v>
      </c>
      <c r="BO37">
        <v>5.0999999999999996</v>
      </c>
      <c r="BP37">
        <v>3.4</v>
      </c>
      <c r="BQ37">
        <v>10.199999999999999</v>
      </c>
      <c r="BR37">
        <v>8.5</v>
      </c>
      <c r="BS37">
        <v>1</v>
      </c>
      <c r="BT37">
        <v>18</v>
      </c>
      <c r="BU37">
        <v>0.1</v>
      </c>
      <c r="BV37">
        <v>14</v>
      </c>
      <c r="BW37">
        <v>5.7</v>
      </c>
      <c r="BX37">
        <v>5.5</v>
      </c>
      <c r="BY37" t="s">
        <v>345</v>
      </c>
    </row>
    <row r="38" spans="1:77" x14ac:dyDescent="0.35">
      <c r="A38">
        <v>2</v>
      </c>
      <c r="B38" s="23" t="s">
        <v>346</v>
      </c>
      <c r="C38" t="s">
        <v>347</v>
      </c>
      <c r="D38">
        <v>63</v>
      </c>
      <c r="E38" s="23" t="s">
        <v>110</v>
      </c>
      <c r="F38" t="s">
        <v>348</v>
      </c>
      <c r="G38" t="s">
        <v>246</v>
      </c>
      <c r="H38" t="s">
        <v>163</v>
      </c>
      <c r="I38" t="s">
        <v>113</v>
      </c>
      <c r="K38" t="s">
        <v>349</v>
      </c>
      <c r="L38" s="4">
        <v>0.4</v>
      </c>
      <c r="O38" s="23">
        <v>97</v>
      </c>
      <c r="Q38">
        <v>97</v>
      </c>
      <c r="R38">
        <v>10</v>
      </c>
      <c r="S38" s="2">
        <v>44455</v>
      </c>
      <c r="T38" s="2">
        <v>44467</v>
      </c>
      <c r="U38">
        <v>12</v>
      </c>
      <c r="X38" t="s">
        <v>178</v>
      </c>
      <c r="Y38" t="s">
        <v>207</v>
      </c>
      <c r="Z38" t="s">
        <v>119</v>
      </c>
      <c r="AA38" t="s">
        <v>119</v>
      </c>
      <c r="AC38" t="s">
        <v>350</v>
      </c>
      <c r="AD38" s="28">
        <v>128</v>
      </c>
      <c r="AE38">
        <v>142</v>
      </c>
      <c r="AF38">
        <v>11.1</v>
      </c>
      <c r="AG38">
        <v>10.8</v>
      </c>
      <c r="AH38">
        <v>15</v>
      </c>
      <c r="AI38">
        <v>9</v>
      </c>
      <c r="AJ38">
        <v>82</v>
      </c>
      <c r="AK38">
        <v>84</v>
      </c>
      <c r="AL38">
        <v>2</v>
      </c>
      <c r="AM38">
        <v>6</v>
      </c>
      <c r="AN38">
        <v>35</v>
      </c>
      <c r="AO38">
        <v>5</v>
      </c>
      <c r="AY38" s="28">
        <v>46</v>
      </c>
      <c r="AZ38">
        <v>41</v>
      </c>
      <c r="BA38">
        <v>17</v>
      </c>
      <c r="BB38">
        <v>17</v>
      </c>
      <c r="BC38" s="23">
        <v>5.55</v>
      </c>
      <c r="BD38">
        <v>2.2200000000000002</v>
      </c>
      <c r="BG38">
        <v>64</v>
      </c>
      <c r="BH38">
        <v>60</v>
      </c>
      <c r="BJ38">
        <v>15</v>
      </c>
      <c r="BL38">
        <v>111</v>
      </c>
      <c r="BM38">
        <v>15.3</v>
      </c>
      <c r="BN38">
        <v>13.6</v>
      </c>
      <c r="BO38">
        <v>5.0999999999999996</v>
      </c>
      <c r="BP38">
        <v>3.4</v>
      </c>
      <c r="BQ38">
        <v>10.199999999999999</v>
      </c>
      <c r="BR38">
        <v>1.02</v>
      </c>
      <c r="BS38">
        <v>0.6</v>
      </c>
      <c r="BT38">
        <v>1.2</v>
      </c>
      <c r="BU38">
        <v>0.4</v>
      </c>
      <c r="BV38">
        <v>1</v>
      </c>
      <c r="BW38">
        <v>7.5</v>
      </c>
      <c r="BX38">
        <v>9.1999999999999993</v>
      </c>
      <c r="BY38" t="s">
        <v>351</v>
      </c>
    </row>
    <row r="39" spans="1:77" x14ac:dyDescent="0.35">
      <c r="A39">
        <v>2</v>
      </c>
      <c r="B39" s="23">
        <v>3233</v>
      </c>
      <c r="C39" t="s">
        <v>352</v>
      </c>
      <c r="D39">
        <v>47</v>
      </c>
      <c r="E39" s="23" t="s">
        <v>79</v>
      </c>
      <c r="F39" t="s">
        <v>353</v>
      </c>
      <c r="G39" t="s">
        <v>300</v>
      </c>
      <c r="H39" t="s">
        <v>82</v>
      </c>
      <c r="I39" t="s">
        <v>113</v>
      </c>
      <c r="K39" t="s">
        <v>354</v>
      </c>
      <c r="L39" s="4">
        <v>0.3</v>
      </c>
      <c r="M39" s="23" t="s">
        <v>258</v>
      </c>
      <c r="N39" t="s">
        <v>355</v>
      </c>
      <c r="O39" s="23">
        <v>88</v>
      </c>
      <c r="P39">
        <v>98</v>
      </c>
      <c r="Q39">
        <v>96</v>
      </c>
      <c r="R39">
        <v>14</v>
      </c>
      <c r="S39" s="2">
        <v>44624</v>
      </c>
      <c r="T39" s="2">
        <v>44659</v>
      </c>
      <c r="U39">
        <v>35</v>
      </c>
      <c r="W39" t="s">
        <v>315</v>
      </c>
      <c r="X39" t="s">
        <v>207</v>
      </c>
      <c r="Z39" t="s">
        <v>104</v>
      </c>
      <c r="AA39" t="s">
        <v>356</v>
      </c>
      <c r="AB39">
        <v>28</v>
      </c>
      <c r="AC39" t="s">
        <v>357</v>
      </c>
      <c r="AD39" s="28">
        <v>157</v>
      </c>
      <c r="AE39">
        <v>141</v>
      </c>
      <c r="AF39">
        <v>6.9</v>
      </c>
      <c r="AG39">
        <v>8.6</v>
      </c>
      <c r="AH39">
        <v>8</v>
      </c>
      <c r="AI39">
        <v>7</v>
      </c>
      <c r="AJ39">
        <v>72</v>
      </c>
      <c r="AK39">
        <v>28</v>
      </c>
      <c r="AL39">
        <v>14</v>
      </c>
      <c r="AM39">
        <v>42</v>
      </c>
      <c r="AN39">
        <v>12</v>
      </c>
      <c r="AO39">
        <v>15</v>
      </c>
      <c r="AP39">
        <v>12</v>
      </c>
      <c r="AQ39" s="23">
        <v>6</v>
      </c>
      <c r="AR39">
        <v>17.100000000000001</v>
      </c>
      <c r="AU39" s="12" t="s">
        <v>358</v>
      </c>
      <c r="AV39" s="12" t="s">
        <v>359</v>
      </c>
      <c r="AX39">
        <v>6.5000000000000002E-2</v>
      </c>
      <c r="AY39" s="28">
        <v>56</v>
      </c>
      <c r="AZ39">
        <v>40</v>
      </c>
      <c r="BA39">
        <v>10.9</v>
      </c>
      <c r="BB39">
        <v>13.1</v>
      </c>
      <c r="BC39" s="23">
        <v>4.55</v>
      </c>
      <c r="BD39">
        <v>2.5499999999999998</v>
      </c>
      <c r="BE39">
        <v>1.06</v>
      </c>
      <c r="BF39">
        <v>1.26</v>
      </c>
      <c r="BG39">
        <v>73</v>
      </c>
      <c r="BH39">
        <v>69</v>
      </c>
      <c r="BI39">
        <v>7.1</v>
      </c>
      <c r="BJ39">
        <v>8.4</v>
      </c>
      <c r="BK39">
        <v>109</v>
      </c>
      <c r="BL39">
        <v>112</v>
      </c>
      <c r="BM39">
        <v>18.7</v>
      </c>
      <c r="BN39">
        <v>18.7</v>
      </c>
      <c r="BO39">
        <v>6.8</v>
      </c>
      <c r="BP39">
        <v>6.8</v>
      </c>
      <c r="BQ39">
        <v>11.9</v>
      </c>
      <c r="BR39">
        <v>11.9</v>
      </c>
      <c r="BS39">
        <v>60.3</v>
      </c>
      <c r="BT39">
        <v>97.7</v>
      </c>
      <c r="BU39">
        <v>48.2</v>
      </c>
      <c r="BV39">
        <v>42.2</v>
      </c>
      <c r="BW39">
        <v>4.8</v>
      </c>
      <c r="BX39">
        <v>4.3</v>
      </c>
    </row>
    <row r="40" spans="1:77" x14ac:dyDescent="0.35">
      <c r="A40">
        <v>2</v>
      </c>
      <c r="B40" s="23" t="s">
        <v>360</v>
      </c>
      <c r="C40" t="s">
        <v>361</v>
      </c>
      <c r="D40">
        <v>55</v>
      </c>
      <c r="E40" s="23" t="s">
        <v>79</v>
      </c>
      <c r="F40" t="s">
        <v>362</v>
      </c>
      <c r="G40" t="s">
        <v>300</v>
      </c>
      <c r="H40" t="s">
        <v>82</v>
      </c>
      <c r="I40" t="s">
        <v>113</v>
      </c>
      <c r="O40" s="23">
        <v>86</v>
      </c>
      <c r="P40">
        <v>96</v>
      </c>
      <c r="Q40">
        <v>95</v>
      </c>
      <c r="R40">
        <v>7</v>
      </c>
      <c r="S40" s="2">
        <v>44649</v>
      </c>
      <c r="T40" s="2">
        <v>44670</v>
      </c>
      <c r="U40">
        <v>21</v>
      </c>
      <c r="W40" t="s">
        <v>89</v>
      </c>
      <c r="X40" t="s">
        <v>207</v>
      </c>
      <c r="Z40" t="s">
        <v>171</v>
      </c>
      <c r="AA40" t="s">
        <v>104</v>
      </c>
      <c r="AB40">
        <v>16</v>
      </c>
      <c r="AC40" t="s">
        <v>363</v>
      </c>
      <c r="AD40" s="28">
        <v>152</v>
      </c>
      <c r="AE40">
        <v>140</v>
      </c>
      <c r="AF40">
        <v>5.8</v>
      </c>
      <c r="AG40">
        <v>16.8</v>
      </c>
      <c r="AH40">
        <v>7</v>
      </c>
      <c r="AI40">
        <v>9</v>
      </c>
      <c r="AJ40">
        <v>78</v>
      </c>
      <c r="AK40">
        <v>66</v>
      </c>
      <c r="AL40">
        <v>9</v>
      </c>
      <c r="AM40">
        <v>11</v>
      </c>
      <c r="AN40">
        <v>8</v>
      </c>
      <c r="AO40">
        <v>4</v>
      </c>
      <c r="AP40">
        <v>18</v>
      </c>
      <c r="AY40" s="28">
        <v>45</v>
      </c>
      <c r="AZ40">
        <v>51</v>
      </c>
      <c r="BA40">
        <v>9.6999999999999993</v>
      </c>
      <c r="BB40">
        <v>15.5</v>
      </c>
      <c r="BC40" s="23">
        <v>5.43</v>
      </c>
      <c r="BD40">
        <v>3.65</v>
      </c>
      <c r="BE40">
        <v>0.96</v>
      </c>
      <c r="BF40">
        <v>1.46</v>
      </c>
      <c r="BG40">
        <v>80</v>
      </c>
      <c r="BH40">
        <v>65</v>
      </c>
      <c r="BI40">
        <v>5.5</v>
      </c>
      <c r="BJ40">
        <v>7.6</v>
      </c>
      <c r="BK40">
        <v>82</v>
      </c>
      <c r="BL40">
        <v>103</v>
      </c>
      <c r="BM40">
        <v>17</v>
      </c>
      <c r="BN40">
        <v>11.9</v>
      </c>
      <c r="BO40">
        <v>5.0999999999999996</v>
      </c>
      <c r="BP40">
        <v>3.4</v>
      </c>
      <c r="BQ40">
        <v>11.9</v>
      </c>
      <c r="BR40">
        <v>8.5</v>
      </c>
      <c r="BS40">
        <v>97.7</v>
      </c>
      <c r="BT40">
        <v>150.69999999999999</v>
      </c>
      <c r="BU40">
        <v>60.4</v>
      </c>
      <c r="BV40">
        <v>78.400000000000006</v>
      </c>
      <c r="BW40">
        <v>3.8</v>
      </c>
      <c r="BX40">
        <v>4.8</v>
      </c>
    </row>
    <row r="41" spans="1:77" x14ac:dyDescent="0.35">
      <c r="A41">
        <v>2</v>
      </c>
      <c r="B41" s="23">
        <v>393</v>
      </c>
      <c r="C41" t="s">
        <v>364</v>
      </c>
      <c r="D41">
        <v>63</v>
      </c>
      <c r="E41" s="23" t="s">
        <v>79</v>
      </c>
      <c r="F41" t="s">
        <v>365</v>
      </c>
      <c r="G41" t="s">
        <v>300</v>
      </c>
      <c r="H41" t="s">
        <v>82</v>
      </c>
      <c r="I41" t="s">
        <v>113</v>
      </c>
      <c r="K41" t="s">
        <v>366</v>
      </c>
      <c r="L41" s="4">
        <v>0.3</v>
      </c>
      <c r="M41" s="23" t="s">
        <v>258</v>
      </c>
      <c r="O41" s="23">
        <v>82</v>
      </c>
      <c r="P41">
        <v>98</v>
      </c>
      <c r="Q41">
        <v>95</v>
      </c>
      <c r="R41">
        <v>14</v>
      </c>
      <c r="S41" s="2">
        <v>44628</v>
      </c>
      <c r="T41" s="2">
        <v>44653</v>
      </c>
      <c r="U41">
        <v>25</v>
      </c>
      <c r="W41" t="s">
        <v>178</v>
      </c>
      <c r="X41" t="s">
        <v>367</v>
      </c>
      <c r="Y41" t="s">
        <v>207</v>
      </c>
      <c r="Z41" t="s">
        <v>329</v>
      </c>
      <c r="AA41" t="s">
        <v>338</v>
      </c>
      <c r="AB41">
        <v>20</v>
      </c>
      <c r="AC41" t="s">
        <v>368</v>
      </c>
      <c r="AD41" s="28">
        <v>132</v>
      </c>
      <c r="AE41">
        <v>130</v>
      </c>
      <c r="AF41">
        <v>7.9</v>
      </c>
      <c r="AG41">
        <v>9.6</v>
      </c>
      <c r="AH41">
        <v>4</v>
      </c>
      <c r="AI41">
        <v>4</v>
      </c>
      <c r="AJ41">
        <v>82</v>
      </c>
      <c r="AK41">
        <v>81</v>
      </c>
      <c r="AL41">
        <v>11</v>
      </c>
      <c r="AM41">
        <v>13</v>
      </c>
      <c r="AN41">
        <v>60</v>
      </c>
      <c r="AO41">
        <v>3</v>
      </c>
      <c r="AP41">
        <v>6</v>
      </c>
      <c r="AQ41" s="23">
        <v>6</v>
      </c>
      <c r="AU41" s="12" t="s">
        <v>369</v>
      </c>
      <c r="AV41">
        <v>986.93</v>
      </c>
      <c r="AY41" s="28">
        <v>40</v>
      </c>
      <c r="AZ41">
        <v>39</v>
      </c>
      <c r="BA41">
        <v>16.2</v>
      </c>
      <c r="BB41">
        <v>12.3</v>
      </c>
      <c r="BC41" s="23">
        <v>5.73</v>
      </c>
      <c r="BD41">
        <v>2.36</v>
      </c>
      <c r="BE41">
        <v>1.57</v>
      </c>
      <c r="BF41">
        <v>1.18</v>
      </c>
      <c r="BG41">
        <v>60</v>
      </c>
      <c r="BH41">
        <v>58</v>
      </c>
      <c r="BI41">
        <v>7.7</v>
      </c>
      <c r="BJ41">
        <v>7</v>
      </c>
      <c r="BK41">
        <v>104</v>
      </c>
      <c r="BL41">
        <v>97</v>
      </c>
      <c r="BM41">
        <v>15.3</v>
      </c>
      <c r="BN41">
        <v>15.3</v>
      </c>
      <c r="BO41">
        <v>5.0999999999999996</v>
      </c>
      <c r="BP41">
        <v>5.0999999999999996</v>
      </c>
      <c r="BQ41">
        <v>10.199999999999999</v>
      </c>
      <c r="BR41">
        <v>10.199999999999999</v>
      </c>
      <c r="BS41">
        <v>67.5</v>
      </c>
      <c r="BT41">
        <v>75.400000000000006</v>
      </c>
      <c r="BU41">
        <v>42.2</v>
      </c>
      <c r="BV41">
        <v>36.200000000000003</v>
      </c>
      <c r="BW41">
        <v>4.3</v>
      </c>
      <c r="BX41">
        <v>3.8</v>
      </c>
      <c r="BY41" t="s">
        <v>370</v>
      </c>
    </row>
    <row r="42" spans="1:77" x14ac:dyDescent="0.35">
      <c r="A42">
        <v>2</v>
      </c>
      <c r="B42" s="23">
        <v>3379</v>
      </c>
      <c r="C42" t="s">
        <v>371</v>
      </c>
      <c r="D42">
        <v>80</v>
      </c>
      <c r="E42" s="23" t="s">
        <v>110</v>
      </c>
      <c r="F42" t="s">
        <v>372</v>
      </c>
      <c r="G42" t="s">
        <v>373</v>
      </c>
      <c r="H42" t="s">
        <v>82</v>
      </c>
      <c r="I42" t="s">
        <v>113</v>
      </c>
      <c r="K42" t="s">
        <v>374</v>
      </c>
      <c r="O42" s="23">
        <v>86</v>
      </c>
      <c r="P42">
        <v>97</v>
      </c>
      <c r="Q42">
        <v>96</v>
      </c>
      <c r="R42">
        <v>7</v>
      </c>
      <c r="S42" s="2">
        <v>44660</v>
      </c>
      <c r="T42" s="2">
        <v>44678</v>
      </c>
      <c r="U42">
        <v>14</v>
      </c>
      <c r="W42" t="s">
        <v>259</v>
      </c>
      <c r="X42" t="s">
        <v>190</v>
      </c>
      <c r="Y42" t="s">
        <v>375</v>
      </c>
      <c r="Z42" t="s">
        <v>104</v>
      </c>
      <c r="AA42" t="s">
        <v>171</v>
      </c>
      <c r="AB42">
        <v>10</v>
      </c>
      <c r="AC42" t="s">
        <v>376</v>
      </c>
      <c r="AD42" s="28">
        <v>131</v>
      </c>
      <c r="AE42">
        <v>122</v>
      </c>
      <c r="AF42">
        <v>7.2</v>
      </c>
      <c r="AG42">
        <v>8.9</v>
      </c>
      <c r="AH42">
        <v>10</v>
      </c>
      <c r="AI42">
        <v>5</v>
      </c>
      <c r="AJ42">
        <v>71</v>
      </c>
      <c r="AK42">
        <v>61</v>
      </c>
      <c r="AL42">
        <v>12</v>
      </c>
      <c r="AM42">
        <v>26</v>
      </c>
      <c r="AN42">
        <v>31</v>
      </c>
      <c r="AO42">
        <v>14</v>
      </c>
      <c r="AQ42" s="23">
        <v>12</v>
      </c>
      <c r="AY42" s="28">
        <v>39.4</v>
      </c>
      <c r="AZ42">
        <v>37</v>
      </c>
      <c r="BA42">
        <v>12.9</v>
      </c>
      <c r="BB42">
        <v>12.6</v>
      </c>
      <c r="BC42" s="23">
        <v>4.99</v>
      </c>
      <c r="BD42">
        <v>3.12</v>
      </c>
      <c r="BE42">
        <v>1.24</v>
      </c>
      <c r="BF42">
        <v>1.21</v>
      </c>
      <c r="BG42">
        <v>77</v>
      </c>
      <c r="BH42">
        <v>60</v>
      </c>
      <c r="BI42">
        <v>4.9000000000000004</v>
      </c>
      <c r="BJ42">
        <v>4.2</v>
      </c>
      <c r="BK42">
        <v>76</v>
      </c>
      <c r="BL42">
        <v>72</v>
      </c>
      <c r="BM42">
        <v>11.9</v>
      </c>
      <c r="BN42">
        <v>13.6</v>
      </c>
      <c r="BO42">
        <v>3.4</v>
      </c>
      <c r="BP42">
        <v>3.4</v>
      </c>
      <c r="BQ42">
        <v>8.5</v>
      </c>
      <c r="BR42">
        <v>10.199999999999999</v>
      </c>
      <c r="BS42">
        <v>30.2</v>
      </c>
      <c r="BT42">
        <v>142.9</v>
      </c>
      <c r="BU42">
        <v>24.1</v>
      </c>
      <c r="BV42">
        <v>66.2</v>
      </c>
      <c r="BW42">
        <v>7.6</v>
      </c>
      <c r="BX42">
        <v>12</v>
      </c>
    </row>
    <row r="43" spans="1:77" x14ac:dyDescent="0.35">
      <c r="A43">
        <v>2</v>
      </c>
      <c r="B43" s="23">
        <v>2310</v>
      </c>
      <c r="C43" t="s">
        <v>377</v>
      </c>
      <c r="D43">
        <v>70</v>
      </c>
      <c r="E43" s="23" t="s">
        <v>110</v>
      </c>
      <c r="F43" t="s">
        <v>378</v>
      </c>
      <c r="G43" t="s">
        <v>373</v>
      </c>
      <c r="H43" t="s">
        <v>82</v>
      </c>
      <c r="I43" t="s">
        <v>113</v>
      </c>
      <c r="K43" t="s">
        <v>379</v>
      </c>
      <c r="O43" s="23">
        <v>84</v>
      </c>
      <c r="P43">
        <v>97</v>
      </c>
      <c r="Q43">
        <v>94</v>
      </c>
      <c r="R43">
        <v>10</v>
      </c>
      <c r="S43" s="2">
        <v>44642</v>
      </c>
      <c r="T43" s="2">
        <v>44673</v>
      </c>
      <c r="U43">
        <v>31</v>
      </c>
      <c r="W43" t="s">
        <v>259</v>
      </c>
      <c r="Y43" t="s">
        <v>286</v>
      </c>
      <c r="Z43" t="s">
        <v>104</v>
      </c>
      <c r="AA43" t="s">
        <v>380</v>
      </c>
      <c r="AB43">
        <v>25</v>
      </c>
      <c r="AC43" t="s">
        <v>381</v>
      </c>
      <c r="AD43" s="28">
        <v>116</v>
      </c>
      <c r="AE43">
        <v>118</v>
      </c>
      <c r="AF43">
        <v>9.8000000000000007</v>
      </c>
      <c r="AG43">
        <v>9.6999999999999993</v>
      </c>
      <c r="AH43">
        <v>18</v>
      </c>
      <c r="AI43">
        <v>6</v>
      </c>
      <c r="AJ43">
        <v>67</v>
      </c>
      <c r="AK43">
        <v>82</v>
      </c>
      <c r="AL43">
        <v>10</v>
      </c>
      <c r="AM43">
        <v>10</v>
      </c>
      <c r="AN43">
        <v>18</v>
      </c>
      <c r="AO43">
        <v>12</v>
      </c>
      <c r="AP43">
        <v>18</v>
      </c>
      <c r="AU43">
        <v>796.19</v>
      </c>
      <c r="AX43">
        <v>18.22</v>
      </c>
      <c r="AY43" s="28">
        <v>42</v>
      </c>
      <c r="AZ43">
        <v>36</v>
      </c>
      <c r="BA43">
        <v>12.3</v>
      </c>
      <c r="BB43">
        <v>16.399999999999999</v>
      </c>
      <c r="BC43" s="23">
        <v>5.41</v>
      </c>
      <c r="BD43">
        <v>1.5</v>
      </c>
      <c r="BE43">
        <v>1.19</v>
      </c>
      <c r="BF43">
        <v>1.53</v>
      </c>
      <c r="BG43">
        <v>78</v>
      </c>
      <c r="BH43">
        <v>60</v>
      </c>
      <c r="BI43">
        <v>4.7</v>
      </c>
      <c r="BJ43">
        <v>4.3</v>
      </c>
      <c r="BK43">
        <v>71</v>
      </c>
      <c r="BL43">
        <v>70</v>
      </c>
      <c r="BM43">
        <v>11.9</v>
      </c>
      <c r="BN43">
        <v>11.9</v>
      </c>
      <c r="BO43">
        <v>3.4</v>
      </c>
      <c r="BP43">
        <v>3.4</v>
      </c>
      <c r="BQ43">
        <v>8.5</v>
      </c>
      <c r="BR43">
        <v>8.5</v>
      </c>
      <c r="BS43">
        <v>45.2</v>
      </c>
      <c r="BT43">
        <v>52.4</v>
      </c>
      <c r="BU43">
        <v>36.200000000000003</v>
      </c>
      <c r="BV43">
        <v>30.2</v>
      </c>
      <c r="BW43">
        <v>5.0999999999999996</v>
      </c>
      <c r="BX43">
        <v>6.1</v>
      </c>
      <c r="BY43" t="s">
        <v>382</v>
      </c>
    </row>
    <row r="44" spans="1:77" s="5" customFormat="1" x14ac:dyDescent="0.35">
      <c r="A44" s="5">
        <v>1</v>
      </c>
      <c r="B44" s="23">
        <v>492</v>
      </c>
      <c r="C44" s="5" t="s">
        <v>383</v>
      </c>
      <c r="D44" s="5">
        <v>75</v>
      </c>
      <c r="E44" s="23" t="s">
        <v>110</v>
      </c>
      <c r="F44" s="5" t="s">
        <v>384</v>
      </c>
      <c r="G44" s="5" t="s">
        <v>373</v>
      </c>
      <c r="H44" s="5" t="s">
        <v>82</v>
      </c>
      <c r="I44" s="5" t="s">
        <v>98</v>
      </c>
      <c r="J44" s="5" t="s">
        <v>385</v>
      </c>
      <c r="K44" s="5" t="s">
        <v>386</v>
      </c>
      <c r="M44" s="23"/>
      <c r="O44" s="23">
        <v>75</v>
      </c>
      <c r="P44" s="5">
        <v>93</v>
      </c>
      <c r="R44" s="5">
        <v>3</v>
      </c>
      <c r="S44" s="6">
        <v>44663</v>
      </c>
      <c r="T44" s="6">
        <v>44693</v>
      </c>
      <c r="U44" s="5">
        <v>30</v>
      </c>
      <c r="V44" s="25">
        <v>44694</v>
      </c>
      <c r="W44" s="5" t="s">
        <v>195</v>
      </c>
      <c r="Z44" s="5" t="s">
        <v>104</v>
      </c>
      <c r="AA44" s="5" t="s">
        <v>387</v>
      </c>
      <c r="AB44" s="5">
        <v>30</v>
      </c>
      <c r="AC44" s="5" t="s">
        <v>388</v>
      </c>
      <c r="AD44" s="28">
        <v>124</v>
      </c>
      <c r="AE44" s="5">
        <v>126</v>
      </c>
      <c r="AF44" s="5">
        <v>13.8</v>
      </c>
      <c r="AG44" s="5">
        <v>16.8</v>
      </c>
      <c r="AH44" s="5">
        <v>32</v>
      </c>
      <c r="AI44" s="5">
        <v>27</v>
      </c>
      <c r="AJ44" s="5">
        <v>52</v>
      </c>
      <c r="AK44" s="5">
        <v>65</v>
      </c>
      <c r="AL44" s="5">
        <v>7</v>
      </c>
      <c r="AM44" s="5">
        <v>4</v>
      </c>
      <c r="AN44" s="5">
        <v>40</v>
      </c>
      <c r="AO44" s="5">
        <v>45</v>
      </c>
      <c r="AP44" s="5">
        <v>8</v>
      </c>
      <c r="AQ44" s="23"/>
      <c r="AT44" s="23"/>
      <c r="AY44" s="28">
        <v>37</v>
      </c>
      <c r="AZ44" s="5">
        <v>39</v>
      </c>
      <c r="BA44" s="5">
        <v>10.6</v>
      </c>
      <c r="BB44" s="5">
        <v>9.5</v>
      </c>
      <c r="BC44" s="23">
        <v>4.4000000000000004</v>
      </c>
      <c r="BD44" s="5">
        <v>5.37</v>
      </c>
      <c r="BE44" s="5">
        <v>1.03</v>
      </c>
      <c r="BF44" s="5">
        <v>0.94</v>
      </c>
      <c r="BG44" s="5">
        <v>73</v>
      </c>
      <c r="BH44" s="5">
        <v>61.5</v>
      </c>
      <c r="BI44" s="5">
        <v>12</v>
      </c>
      <c r="BJ44" s="5">
        <v>14.2</v>
      </c>
      <c r="BK44" s="5">
        <v>132</v>
      </c>
      <c r="BL44" s="5">
        <v>120</v>
      </c>
      <c r="BM44" s="5">
        <v>11.9</v>
      </c>
      <c r="BN44" s="5">
        <v>13.6</v>
      </c>
      <c r="BO44" s="5">
        <v>3.4</v>
      </c>
      <c r="BP44" s="5">
        <v>5.4</v>
      </c>
      <c r="BQ44" s="5">
        <v>8.5</v>
      </c>
      <c r="BR44" s="5">
        <v>8.5</v>
      </c>
      <c r="BS44" s="5">
        <v>22.3</v>
      </c>
      <c r="BT44" s="5">
        <v>37.4</v>
      </c>
      <c r="BU44" s="5">
        <v>18.2</v>
      </c>
      <c r="BV44" s="5">
        <v>36.200000000000003</v>
      </c>
      <c r="BW44" s="5">
        <v>9.3000000000000007</v>
      </c>
      <c r="BX44" s="5">
        <v>17.8</v>
      </c>
    </row>
    <row r="45" spans="1:77" s="5" customFormat="1" x14ac:dyDescent="0.35">
      <c r="A45" s="5">
        <v>1</v>
      </c>
      <c r="B45" s="23">
        <v>2455</v>
      </c>
      <c r="C45" s="5" t="s">
        <v>389</v>
      </c>
      <c r="D45" s="5">
        <v>45</v>
      </c>
      <c r="E45" s="23" t="s">
        <v>110</v>
      </c>
      <c r="F45" s="5" t="s">
        <v>390</v>
      </c>
      <c r="G45" s="5" t="s">
        <v>373</v>
      </c>
      <c r="H45" s="5" t="s">
        <v>82</v>
      </c>
      <c r="I45" s="5" t="s">
        <v>98</v>
      </c>
      <c r="J45" s="5" t="s">
        <v>391</v>
      </c>
      <c r="K45" s="5" t="s">
        <v>392</v>
      </c>
      <c r="M45" s="23"/>
      <c r="O45" s="23">
        <v>69</v>
      </c>
      <c r="P45" s="5">
        <v>95</v>
      </c>
      <c r="R45" s="5">
        <v>6</v>
      </c>
      <c r="S45" s="6">
        <v>44715</v>
      </c>
      <c r="T45" s="6">
        <v>44729</v>
      </c>
      <c r="U45" s="5">
        <v>14</v>
      </c>
      <c r="V45" s="25">
        <v>44730</v>
      </c>
      <c r="W45" s="5" t="s">
        <v>393</v>
      </c>
      <c r="X45" s="5" t="s">
        <v>190</v>
      </c>
      <c r="Y45" s="5" t="s">
        <v>375</v>
      </c>
      <c r="Z45" s="5" t="s">
        <v>135</v>
      </c>
      <c r="AA45" s="5" t="s">
        <v>170</v>
      </c>
      <c r="AB45" s="5">
        <v>14</v>
      </c>
      <c r="AC45" s="5" t="s">
        <v>394</v>
      </c>
      <c r="AD45" s="28">
        <v>118</v>
      </c>
      <c r="AE45" s="5">
        <v>75</v>
      </c>
      <c r="AF45" s="5">
        <v>15</v>
      </c>
      <c r="AG45" s="5">
        <v>14.3</v>
      </c>
      <c r="AH45" s="5">
        <v>3</v>
      </c>
      <c r="AI45" s="5">
        <v>40</v>
      </c>
      <c r="AJ45" s="5">
        <v>86</v>
      </c>
      <c r="AK45" s="5">
        <v>52</v>
      </c>
      <c r="AL45" s="5">
        <v>8</v>
      </c>
      <c r="AM45" s="5">
        <v>2</v>
      </c>
      <c r="AN45" s="5">
        <v>30</v>
      </c>
      <c r="AO45" s="5">
        <v>65</v>
      </c>
      <c r="AP45" s="5">
        <v>72</v>
      </c>
      <c r="AQ45" s="23">
        <v>9</v>
      </c>
      <c r="AT45" s="23"/>
      <c r="AU45" s="5">
        <v>10000</v>
      </c>
      <c r="AV45" s="5">
        <v>5829.55</v>
      </c>
      <c r="AY45" s="28">
        <v>21</v>
      </c>
      <c r="AZ45" s="5">
        <v>49</v>
      </c>
      <c r="BA45" s="5">
        <v>15.8</v>
      </c>
      <c r="BB45" s="5">
        <v>22.2</v>
      </c>
      <c r="BC45" s="23">
        <v>4.74</v>
      </c>
      <c r="BD45" s="5">
        <v>7.5</v>
      </c>
      <c r="BE45" s="5">
        <v>1.5</v>
      </c>
      <c r="BF45" s="5">
        <v>2.0499999999999998</v>
      </c>
      <c r="BG45" s="5">
        <v>63</v>
      </c>
      <c r="BH45" s="5">
        <v>58</v>
      </c>
      <c r="BI45" s="5">
        <v>8.5</v>
      </c>
      <c r="BJ45" s="5">
        <v>10.5</v>
      </c>
      <c r="BK45" s="5">
        <v>107</v>
      </c>
      <c r="BL45" s="5">
        <v>132</v>
      </c>
      <c r="BN45" s="5">
        <v>13.6</v>
      </c>
      <c r="BP45" s="5">
        <v>3.4</v>
      </c>
      <c r="BR45" s="5">
        <v>10.199999999999999</v>
      </c>
      <c r="BT45" s="5">
        <v>30.2</v>
      </c>
      <c r="BV45" s="5">
        <v>45.2</v>
      </c>
      <c r="BW45" s="5">
        <v>13</v>
      </c>
      <c r="BX45" s="5">
        <v>7.7</v>
      </c>
      <c r="BY45" s="5" t="s">
        <v>395</v>
      </c>
    </row>
    <row r="46" spans="1:77" s="5" customFormat="1" x14ac:dyDescent="0.35">
      <c r="A46" s="5">
        <v>1</v>
      </c>
      <c r="B46" s="23">
        <v>296</v>
      </c>
      <c r="C46" s="5" t="s">
        <v>396</v>
      </c>
      <c r="D46" s="5">
        <v>66</v>
      </c>
      <c r="E46" s="23" t="s">
        <v>110</v>
      </c>
      <c r="F46" s="5" t="s">
        <v>397</v>
      </c>
      <c r="G46" s="5" t="s">
        <v>373</v>
      </c>
      <c r="H46" s="5" t="s">
        <v>82</v>
      </c>
      <c r="I46" s="5" t="s">
        <v>98</v>
      </c>
      <c r="J46" s="5" t="s">
        <v>385</v>
      </c>
      <c r="K46" s="5" t="s">
        <v>398</v>
      </c>
      <c r="M46" s="23"/>
      <c r="O46" s="23">
        <v>74</v>
      </c>
      <c r="P46" s="5">
        <v>90</v>
      </c>
      <c r="R46" s="5">
        <v>10</v>
      </c>
      <c r="S46" s="6">
        <v>44639</v>
      </c>
      <c r="T46" s="6">
        <v>44659</v>
      </c>
      <c r="U46" s="5">
        <v>20</v>
      </c>
      <c r="V46" s="25">
        <v>44660</v>
      </c>
      <c r="W46" s="5" t="s">
        <v>89</v>
      </c>
      <c r="Y46" s="5" t="s">
        <v>207</v>
      </c>
      <c r="Z46" s="5" t="s">
        <v>171</v>
      </c>
      <c r="AA46" s="5" t="s">
        <v>104</v>
      </c>
      <c r="AB46" s="5">
        <v>20</v>
      </c>
      <c r="AC46" s="5" t="s">
        <v>399</v>
      </c>
      <c r="AD46" s="28">
        <v>140</v>
      </c>
      <c r="AE46" s="5">
        <v>158</v>
      </c>
      <c r="AF46" s="5">
        <v>7.7</v>
      </c>
      <c r="AG46" s="5">
        <v>10.199999999999999</v>
      </c>
      <c r="AH46" s="5">
        <v>15</v>
      </c>
      <c r="AI46" s="5">
        <v>6</v>
      </c>
      <c r="AJ46" s="5">
        <v>61</v>
      </c>
      <c r="AK46" s="5">
        <v>77</v>
      </c>
      <c r="AL46" s="5">
        <v>15</v>
      </c>
      <c r="AM46" s="5">
        <v>11</v>
      </c>
      <c r="AN46" s="5">
        <v>40</v>
      </c>
      <c r="AO46" s="5">
        <v>27</v>
      </c>
      <c r="AQ46" s="23"/>
      <c r="AT46" s="23"/>
      <c r="AU46" s="5">
        <v>5044</v>
      </c>
      <c r="AV46" s="5">
        <v>0.25</v>
      </c>
      <c r="AY46" s="28">
        <v>40</v>
      </c>
      <c r="AZ46" s="5">
        <v>56</v>
      </c>
      <c r="BA46" s="5">
        <v>15</v>
      </c>
      <c r="BB46" s="5">
        <v>11.3</v>
      </c>
      <c r="BC46" s="23">
        <v>5.5</v>
      </c>
      <c r="BD46" s="5">
        <v>5.2</v>
      </c>
      <c r="BF46" s="5">
        <v>1.0900000000000001</v>
      </c>
      <c r="BG46" s="5">
        <v>81</v>
      </c>
      <c r="BH46" s="5">
        <v>56</v>
      </c>
      <c r="BI46" s="5">
        <v>7.9</v>
      </c>
      <c r="BJ46" s="5">
        <v>7.7</v>
      </c>
      <c r="BK46" s="5">
        <v>107</v>
      </c>
      <c r="BL46" s="5">
        <v>104</v>
      </c>
      <c r="BM46" s="5">
        <v>20.399999999999999</v>
      </c>
      <c r="BN46" s="5">
        <v>18.7</v>
      </c>
      <c r="BO46" s="5">
        <v>6.8</v>
      </c>
      <c r="BP46" s="5">
        <v>6.8</v>
      </c>
      <c r="BQ46" s="5">
        <v>13.6</v>
      </c>
      <c r="BR46" s="5">
        <v>13.6</v>
      </c>
      <c r="BS46" s="5">
        <v>135.69999999999999</v>
      </c>
      <c r="BT46" s="5">
        <v>45.2</v>
      </c>
      <c r="BU46" s="5">
        <v>90.4</v>
      </c>
      <c r="BV46" s="5">
        <v>30.2</v>
      </c>
      <c r="BW46" s="5">
        <v>4.7</v>
      </c>
      <c r="BX46" s="5">
        <v>13.6</v>
      </c>
    </row>
    <row r="47" spans="1:77" s="5" customFormat="1" x14ac:dyDescent="0.35">
      <c r="A47" s="5">
        <v>1</v>
      </c>
      <c r="B47" s="23">
        <v>1837</v>
      </c>
      <c r="C47" s="5" t="s">
        <v>400</v>
      </c>
      <c r="D47" s="5">
        <v>60</v>
      </c>
      <c r="E47" s="23" t="s">
        <v>110</v>
      </c>
      <c r="F47" s="5" t="s">
        <v>401</v>
      </c>
      <c r="G47" s="5" t="s">
        <v>373</v>
      </c>
      <c r="H47" s="5" t="s">
        <v>82</v>
      </c>
      <c r="I47" s="5" t="s">
        <v>98</v>
      </c>
      <c r="J47" s="5" t="s">
        <v>402</v>
      </c>
      <c r="K47" s="5" t="s">
        <v>403</v>
      </c>
      <c r="M47" s="23"/>
      <c r="O47" s="23">
        <v>60</v>
      </c>
      <c r="P47" s="5">
        <v>89</v>
      </c>
      <c r="R47" s="5">
        <v>7</v>
      </c>
      <c r="S47" s="6">
        <v>44657</v>
      </c>
      <c r="T47" s="6">
        <v>44665</v>
      </c>
      <c r="U47" s="5">
        <v>8</v>
      </c>
      <c r="V47" s="25">
        <v>44666</v>
      </c>
      <c r="W47" s="5" t="s">
        <v>195</v>
      </c>
      <c r="Y47" s="5" t="s">
        <v>207</v>
      </c>
      <c r="Z47" s="5" t="s">
        <v>104</v>
      </c>
      <c r="AA47" s="5" t="s">
        <v>171</v>
      </c>
      <c r="AB47" s="5">
        <v>8</v>
      </c>
      <c r="AC47" s="5" t="s">
        <v>404</v>
      </c>
      <c r="AD47" s="28">
        <v>121</v>
      </c>
      <c r="AE47" s="5">
        <v>129</v>
      </c>
      <c r="AF47" s="5">
        <v>17.2</v>
      </c>
      <c r="AG47" s="5">
        <v>10</v>
      </c>
      <c r="AH47" s="5">
        <v>19</v>
      </c>
      <c r="AI47" s="5">
        <v>20</v>
      </c>
      <c r="AJ47" s="5">
        <v>71</v>
      </c>
      <c r="AK47" s="5">
        <v>74</v>
      </c>
      <c r="AL47" s="5">
        <v>7</v>
      </c>
      <c r="AM47" s="5">
        <v>3</v>
      </c>
      <c r="AN47" s="5">
        <v>65</v>
      </c>
      <c r="AO47" s="5">
        <v>4</v>
      </c>
      <c r="AQ47" s="23"/>
      <c r="AR47" s="5">
        <v>563.20000000000005</v>
      </c>
      <c r="AS47" s="5">
        <v>437.9</v>
      </c>
      <c r="AT47" s="23"/>
      <c r="AU47" s="5">
        <v>10000</v>
      </c>
      <c r="AV47" s="5">
        <v>2331.42</v>
      </c>
      <c r="AY47" s="28">
        <v>37</v>
      </c>
      <c r="BA47" s="5">
        <v>13.1</v>
      </c>
      <c r="BB47" s="5">
        <v>40</v>
      </c>
      <c r="BC47" s="23">
        <v>17.13</v>
      </c>
      <c r="BD47" s="5">
        <v>2.59</v>
      </c>
      <c r="BE47" s="5">
        <v>1.25</v>
      </c>
      <c r="BF47" s="5">
        <v>1.17</v>
      </c>
      <c r="BG47" s="5">
        <v>56</v>
      </c>
      <c r="BH47" s="5">
        <v>73</v>
      </c>
      <c r="BI47" s="5">
        <v>4.8</v>
      </c>
      <c r="BJ47" s="5">
        <v>5.5</v>
      </c>
      <c r="BK47" s="5">
        <v>76</v>
      </c>
      <c r="BL47" s="5">
        <v>80</v>
      </c>
      <c r="BM47" s="5">
        <v>11.9</v>
      </c>
      <c r="BN47" s="5">
        <v>15.3</v>
      </c>
      <c r="BO47" s="5">
        <v>3.7</v>
      </c>
      <c r="BP47" s="5">
        <v>3.4</v>
      </c>
      <c r="BQ47" s="5">
        <v>8.8000000000000007</v>
      </c>
      <c r="BR47" s="5">
        <v>10.199999999999999</v>
      </c>
      <c r="BS47" s="5">
        <v>45.2</v>
      </c>
      <c r="BT47" s="5">
        <v>75.400000000000006</v>
      </c>
      <c r="BU47" s="5">
        <v>30.2</v>
      </c>
      <c r="BV47" s="5">
        <v>60.4</v>
      </c>
      <c r="BW47" s="5">
        <v>7.4</v>
      </c>
      <c r="BX47" s="5">
        <v>8.3000000000000007</v>
      </c>
    </row>
    <row r="48" spans="1:77" s="5" customFormat="1" x14ac:dyDescent="0.35">
      <c r="A48" s="5">
        <v>1</v>
      </c>
      <c r="B48" s="23">
        <v>893</v>
      </c>
      <c r="C48" s="5" t="s">
        <v>405</v>
      </c>
      <c r="D48" s="5">
        <v>69</v>
      </c>
      <c r="E48" s="23" t="s">
        <v>110</v>
      </c>
      <c r="F48" s="5" t="s">
        <v>406</v>
      </c>
      <c r="G48" s="5" t="s">
        <v>373</v>
      </c>
      <c r="H48" s="5" t="s">
        <v>82</v>
      </c>
      <c r="I48" s="5" t="s">
        <v>98</v>
      </c>
      <c r="J48" s="5" t="s">
        <v>407</v>
      </c>
      <c r="K48" s="5" t="s">
        <v>403</v>
      </c>
      <c r="M48" s="23"/>
      <c r="O48" s="23">
        <v>50</v>
      </c>
      <c r="P48" s="5">
        <v>89</v>
      </c>
      <c r="R48" s="5">
        <v>11</v>
      </c>
      <c r="S48" s="6">
        <v>44641</v>
      </c>
      <c r="T48" s="6">
        <v>44644</v>
      </c>
      <c r="U48" s="5">
        <v>3</v>
      </c>
      <c r="V48" s="25">
        <v>44644</v>
      </c>
      <c r="W48" s="5" t="s">
        <v>408</v>
      </c>
      <c r="Y48" s="5" t="s">
        <v>207</v>
      </c>
      <c r="Z48" s="5" t="s">
        <v>104</v>
      </c>
      <c r="AA48" s="5" t="s">
        <v>409</v>
      </c>
      <c r="AB48" s="5">
        <v>3</v>
      </c>
      <c r="AD48" s="28">
        <v>100</v>
      </c>
      <c r="AF48" s="5">
        <v>5.7</v>
      </c>
      <c r="AH48" s="5">
        <v>17</v>
      </c>
      <c r="AJ48" s="5">
        <v>74</v>
      </c>
      <c r="AL48" s="5">
        <v>6</v>
      </c>
      <c r="AN48" s="5">
        <v>48</v>
      </c>
      <c r="AP48" s="5">
        <v>12</v>
      </c>
      <c r="AQ48" s="23"/>
      <c r="AT48" s="23"/>
      <c r="AU48" s="5">
        <v>700</v>
      </c>
      <c r="AX48" s="12" t="s">
        <v>410</v>
      </c>
      <c r="AY48" s="28">
        <v>28</v>
      </c>
      <c r="BA48" s="14" t="s">
        <v>411</v>
      </c>
      <c r="BC48" s="14" t="s">
        <v>412</v>
      </c>
      <c r="BD48" s="8"/>
      <c r="BE48" s="5">
        <v>1.23</v>
      </c>
      <c r="BG48" s="5">
        <v>67</v>
      </c>
      <c r="BI48" s="5">
        <v>5</v>
      </c>
      <c r="BK48" s="5">
        <v>77</v>
      </c>
      <c r="BM48" s="5">
        <v>18.7</v>
      </c>
      <c r="BO48" s="5">
        <v>6.8</v>
      </c>
      <c r="BQ48" s="5">
        <v>11.9</v>
      </c>
      <c r="BS48" s="5">
        <v>112.8</v>
      </c>
      <c r="BU48" s="5">
        <v>96.3</v>
      </c>
      <c r="BW48" s="5">
        <v>4.5</v>
      </c>
    </row>
    <row r="49" spans="1:77" s="5" customFormat="1" x14ac:dyDescent="0.35">
      <c r="A49" s="5">
        <v>1</v>
      </c>
      <c r="B49" s="23">
        <v>1568</v>
      </c>
      <c r="C49" s="5" t="s">
        <v>413</v>
      </c>
      <c r="D49" s="5">
        <v>70</v>
      </c>
      <c r="E49" s="23" t="s">
        <v>79</v>
      </c>
      <c r="F49" s="5" t="s">
        <v>414</v>
      </c>
      <c r="G49" s="5" t="s">
        <v>373</v>
      </c>
      <c r="H49" s="5" t="s">
        <v>82</v>
      </c>
      <c r="I49" s="5" t="s">
        <v>98</v>
      </c>
      <c r="J49" s="5" t="s">
        <v>415</v>
      </c>
      <c r="K49" s="5" t="s">
        <v>403</v>
      </c>
      <c r="M49" s="23"/>
      <c r="O49" s="23">
        <v>64</v>
      </c>
      <c r="P49" s="5">
        <v>95</v>
      </c>
      <c r="R49" s="5">
        <v>14</v>
      </c>
      <c r="S49" s="6">
        <v>44667</v>
      </c>
      <c r="T49" s="6">
        <v>44675</v>
      </c>
      <c r="U49" s="5">
        <v>8</v>
      </c>
      <c r="V49" s="25">
        <v>44677</v>
      </c>
      <c r="X49" s="5" t="s">
        <v>416</v>
      </c>
      <c r="Z49" s="5" t="s">
        <v>91</v>
      </c>
      <c r="AA49" s="5" t="s">
        <v>104</v>
      </c>
      <c r="AB49" s="5">
        <v>8</v>
      </c>
      <c r="AC49" s="5" t="s">
        <v>417</v>
      </c>
      <c r="AD49" s="28">
        <v>142</v>
      </c>
      <c r="AE49" s="5">
        <v>139</v>
      </c>
      <c r="AF49" s="5">
        <v>17.2</v>
      </c>
      <c r="AG49" s="5">
        <v>17.3</v>
      </c>
      <c r="AH49" s="5">
        <v>16</v>
      </c>
      <c r="AI49" s="5">
        <v>8</v>
      </c>
      <c r="AJ49" s="5">
        <v>76</v>
      </c>
      <c r="AK49" s="5">
        <v>82</v>
      </c>
      <c r="AL49" s="5">
        <v>3</v>
      </c>
      <c r="AM49" s="5">
        <v>5</v>
      </c>
      <c r="AN49" s="5">
        <v>36</v>
      </c>
      <c r="AO49" s="5">
        <v>45</v>
      </c>
      <c r="AP49" s="5">
        <v>18</v>
      </c>
      <c r="AQ49" s="23"/>
      <c r="AT49" s="23"/>
      <c r="AU49" s="5">
        <v>3250</v>
      </c>
      <c r="AY49" s="28">
        <v>38</v>
      </c>
      <c r="AZ49" s="5">
        <v>42</v>
      </c>
      <c r="BA49" s="5">
        <v>15.5</v>
      </c>
      <c r="BB49" s="5">
        <v>13.9</v>
      </c>
      <c r="BC49" s="23">
        <v>9.2899999999999991</v>
      </c>
      <c r="BD49" s="5">
        <v>4.55</v>
      </c>
      <c r="BE49" s="5">
        <v>1.45</v>
      </c>
      <c r="BF49" s="5">
        <v>1.32</v>
      </c>
      <c r="BG49" s="5">
        <v>70</v>
      </c>
      <c r="BH49" s="5">
        <v>86</v>
      </c>
      <c r="BI49" s="12" t="s">
        <v>418</v>
      </c>
      <c r="BJ49" s="5">
        <v>12.4</v>
      </c>
      <c r="BK49" s="5">
        <v>106</v>
      </c>
      <c r="BL49" s="5">
        <v>131</v>
      </c>
      <c r="BM49" s="5">
        <v>18.7</v>
      </c>
      <c r="BN49" s="5">
        <v>18.7</v>
      </c>
      <c r="BO49" s="5">
        <v>6.8</v>
      </c>
      <c r="BP49" s="5">
        <v>6.8</v>
      </c>
      <c r="BQ49" s="5">
        <v>11.9</v>
      </c>
      <c r="BR49" s="5">
        <v>11.8</v>
      </c>
      <c r="BS49" s="5">
        <v>67.5</v>
      </c>
      <c r="BT49" s="5">
        <v>45.2</v>
      </c>
      <c r="BU49" s="5">
        <v>42.2</v>
      </c>
      <c r="BV49" s="5">
        <v>24.1</v>
      </c>
      <c r="BW49" s="5">
        <v>7.6</v>
      </c>
      <c r="BX49" s="5">
        <v>7</v>
      </c>
    </row>
    <row r="50" spans="1:77" s="5" customFormat="1" x14ac:dyDescent="0.35">
      <c r="A50" s="5">
        <v>1</v>
      </c>
      <c r="B50" s="23">
        <v>2526</v>
      </c>
      <c r="C50" s="5" t="s">
        <v>419</v>
      </c>
      <c r="D50" s="5">
        <v>50</v>
      </c>
      <c r="E50" s="23" t="s">
        <v>110</v>
      </c>
      <c r="F50" s="5" t="s">
        <v>420</v>
      </c>
      <c r="G50" s="5" t="s">
        <v>373</v>
      </c>
      <c r="H50" s="5" t="s">
        <v>82</v>
      </c>
      <c r="I50" s="5" t="s">
        <v>98</v>
      </c>
      <c r="J50" s="5" t="s">
        <v>421</v>
      </c>
      <c r="K50" s="5" t="s">
        <v>422</v>
      </c>
      <c r="L50" s="7">
        <v>0.5</v>
      </c>
      <c r="M50" s="24" t="s">
        <v>82</v>
      </c>
      <c r="O50" s="23">
        <v>80</v>
      </c>
      <c r="P50" s="5">
        <v>89</v>
      </c>
      <c r="R50" s="5">
        <v>21</v>
      </c>
      <c r="S50" s="6">
        <v>44633</v>
      </c>
      <c r="T50" s="6">
        <v>44644</v>
      </c>
      <c r="U50" s="5">
        <v>11</v>
      </c>
      <c r="V50" s="25">
        <v>44649</v>
      </c>
      <c r="X50" s="5" t="s">
        <v>423</v>
      </c>
      <c r="Z50" s="5" t="s">
        <v>424</v>
      </c>
      <c r="AA50" s="5" t="s">
        <v>104</v>
      </c>
      <c r="AB50" s="5">
        <v>11</v>
      </c>
      <c r="AC50" s="5" t="s">
        <v>388</v>
      </c>
      <c r="AD50" s="28">
        <v>123</v>
      </c>
      <c r="AE50" s="5">
        <v>111</v>
      </c>
      <c r="AF50" s="5">
        <v>29.2</v>
      </c>
      <c r="AG50" s="5">
        <v>16.100000000000001</v>
      </c>
      <c r="AH50" s="5">
        <v>3</v>
      </c>
      <c r="AI50" s="5">
        <v>20</v>
      </c>
      <c r="AJ50" s="5">
        <v>80</v>
      </c>
      <c r="AK50" s="5">
        <v>76</v>
      </c>
      <c r="AL50" s="5">
        <v>12</v>
      </c>
      <c r="AM50" s="5">
        <v>2</v>
      </c>
      <c r="AN50" s="5">
        <v>7</v>
      </c>
      <c r="AO50" s="5">
        <v>10</v>
      </c>
      <c r="AP50" s="5">
        <v>6</v>
      </c>
      <c r="AQ50" s="23">
        <v>6</v>
      </c>
      <c r="AT50" s="23"/>
      <c r="AU50" s="5">
        <v>839</v>
      </c>
      <c r="AV50" s="5">
        <v>531</v>
      </c>
      <c r="AX50" s="12" t="s">
        <v>425</v>
      </c>
      <c r="AY50" s="28">
        <v>47</v>
      </c>
      <c r="AZ50" s="5">
        <v>36</v>
      </c>
      <c r="BA50" s="5">
        <v>16.100000000000001</v>
      </c>
      <c r="BB50" s="5">
        <v>17.399999999999999</v>
      </c>
      <c r="BC50" s="23">
        <v>3.26</v>
      </c>
      <c r="BD50" s="5">
        <v>2.52</v>
      </c>
      <c r="BE50" s="5">
        <v>1.5</v>
      </c>
      <c r="BF50" s="5">
        <v>1.8</v>
      </c>
      <c r="BG50" s="5">
        <v>53</v>
      </c>
      <c r="BH50" s="5">
        <v>58</v>
      </c>
      <c r="BI50" s="5">
        <v>3.4</v>
      </c>
      <c r="BJ50" s="5">
        <v>7.1</v>
      </c>
      <c r="BK50" s="5">
        <v>70</v>
      </c>
      <c r="BL50" s="5">
        <v>100</v>
      </c>
      <c r="BM50" s="5">
        <v>13.6</v>
      </c>
      <c r="BN50" s="5">
        <v>17</v>
      </c>
      <c r="BO50" s="5">
        <v>3.4</v>
      </c>
      <c r="BP50" s="5">
        <v>5.0999999999999996</v>
      </c>
      <c r="BQ50" s="5">
        <v>10.199999999999999</v>
      </c>
      <c r="BR50" s="5">
        <v>11.9</v>
      </c>
      <c r="BS50" s="5">
        <v>67.5</v>
      </c>
      <c r="BT50" s="5">
        <v>60.3</v>
      </c>
      <c r="BU50" s="5">
        <v>24.11</v>
      </c>
      <c r="BV50" s="5">
        <v>66.400000000000006</v>
      </c>
      <c r="BW50" s="5">
        <v>5.7</v>
      </c>
      <c r="BX50" s="5">
        <v>9.4</v>
      </c>
    </row>
    <row r="51" spans="1:77" s="5" customFormat="1" x14ac:dyDescent="0.35">
      <c r="A51" s="5">
        <v>1</v>
      </c>
      <c r="B51" s="23">
        <v>75</v>
      </c>
      <c r="C51" s="5" t="s">
        <v>426</v>
      </c>
      <c r="D51" s="5">
        <v>78</v>
      </c>
      <c r="E51" s="23" t="s">
        <v>79</v>
      </c>
      <c r="F51" s="5" t="s">
        <v>427</v>
      </c>
      <c r="G51" s="5" t="s">
        <v>373</v>
      </c>
      <c r="H51" s="5" t="s">
        <v>82</v>
      </c>
      <c r="I51" s="5" t="s">
        <v>98</v>
      </c>
      <c r="J51" s="5" t="s">
        <v>428</v>
      </c>
      <c r="K51" s="5" t="s">
        <v>422</v>
      </c>
      <c r="M51" s="23"/>
      <c r="O51" s="23">
        <v>86</v>
      </c>
      <c r="P51" s="5">
        <v>96</v>
      </c>
      <c r="R51" s="5">
        <v>3</v>
      </c>
      <c r="S51" s="6">
        <v>44653</v>
      </c>
      <c r="T51" s="6">
        <v>44656</v>
      </c>
      <c r="U51" s="5">
        <v>3</v>
      </c>
      <c r="V51" s="25">
        <v>44656</v>
      </c>
      <c r="W51" s="5" t="s">
        <v>429</v>
      </c>
      <c r="Z51" s="5" t="s">
        <v>430</v>
      </c>
      <c r="AA51" s="5" t="s">
        <v>135</v>
      </c>
      <c r="AB51" s="5">
        <v>3</v>
      </c>
      <c r="AC51" s="9" t="s">
        <v>431</v>
      </c>
      <c r="AD51" s="29" t="s">
        <v>432</v>
      </c>
      <c r="AE51" s="16" t="s">
        <v>433</v>
      </c>
      <c r="AQ51" s="23"/>
      <c r="AT51" s="23"/>
      <c r="AY51" s="28"/>
      <c r="BC51" s="23"/>
      <c r="BK51" s="16" t="s">
        <v>432</v>
      </c>
      <c r="BL51" s="16" t="s">
        <v>433</v>
      </c>
    </row>
    <row r="52" spans="1:77" s="5" customFormat="1" x14ac:dyDescent="0.35">
      <c r="A52" s="5">
        <v>1</v>
      </c>
      <c r="B52" s="23">
        <v>1803</v>
      </c>
      <c r="C52" s="5" t="s">
        <v>434</v>
      </c>
      <c r="D52" s="5">
        <v>71</v>
      </c>
      <c r="E52" s="23" t="s">
        <v>110</v>
      </c>
      <c r="F52" s="5" t="s">
        <v>435</v>
      </c>
      <c r="G52" s="5" t="s">
        <v>373</v>
      </c>
      <c r="H52" s="5" t="s">
        <v>82</v>
      </c>
      <c r="I52" s="5" t="s">
        <v>98</v>
      </c>
      <c r="J52" s="5" t="s">
        <v>436</v>
      </c>
      <c r="K52" s="5" t="s">
        <v>403</v>
      </c>
      <c r="M52" s="23"/>
      <c r="O52" s="23">
        <v>88</v>
      </c>
      <c r="P52" s="5">
        <v>94</v>
      </c>
      <c r="R52" s="5">
        <v>6</v>
      </c>
      <c r="S52" s="6">
        <v>44652</v>
      </c>
      <c r="T52" s="6">
        <v>44657</v>
      </c>
      <c r="U52" s="5">
        <v>5</v>
      </c>
      <c r="V52" s="25">
        <v>44658</v>
      </c>
      <c r="W52" s="5" t="s">
        <v>408</v>
      </c>
      <c r="Z52" s="5" t="s">
        <v>170</v>
      </c>
      <c r="AA52" s="5" t="s">
        <v>104</v>
      </c>
      <c r="AB52" s="5">
        <v>5</v>
      </c>
      <c r="AC52" s="9" t="s">
        <v>437</v>
      </c>
      <c r="AD52" s="28">
        <v>184</v>
      </c>
      <c r="AE52" s="5">
        <v>190</v>
      </c>
      <c r="AF52" s="5">
        <v>7.7</v>
      </c>
      <c r="AG52" s="5">
        <v>25.9</v>
      </c>
      <c r="AH52" s="5">
        <v>13</v>
      </c>
      <c r="AI52" s="5">
        <v>2</v>
      </c>
      <c r="AJ52" s="5">
        <v>71</v>
      </c>
      <c r="AK52" s="5">
        <v>76</v>
      </c>
      <c r="AL52" s="5">
        <v>11</v>
      </c>
      <c r="AM52" s="5">
        <v>5</v>
      </c>
      <c r="AN52" s="5">
        <v>17</v>
      </c>
      <c r="AO52" s="5">
        <v>1</v>
      </c>
      <c r="AP52" s="5">
        <v>12</v>
      </c>
      <c r="AQ52" s="23"/>
      <c r="AT52" s="23"/>
      <c r="AY52" s="28">
        <v>48.3</v>
      </c>
      <c r="AZ52" s="12" t="s">
        <v>438</v>
      </c>
      <c r="BA52" s="5">
        <v>17.3</v>
      </c>
      <c r="BB52" s="8"/>
      <c r="BC52" s="23">
        <v>0.33</v>
      </c>
      <c r="BD52" s="8"/>
      <c r="BE52" s="5">
        <v>1.61</v>
      </c>
      <c r="BG52" s="5">
        <v>74</v>
      </c>
      <c r="BI52" s="5">
        <v>8.9</v>
      </c>
      <c r="BJ52" s="5">
        <v>116</v>
      </c>
      <c r="BW52" s="5">
        <v>12</v>
      </c>
      <c r="BY52" s="5" t="s">
        <v>439</v>
      </c>
    </row>
    <row r="53" spans="1:77" s="5" customFormat="1" x14ac:dyDescent="0.35">
      <c r="A53" s="5">
        <v>1</v>
      </c>
      <c r="B53" s="23">
        <v>416</v>
      </c>
      <c r="C53" s="5" t="s">
        <v>440</v>
      </c>
      <c r="D53" s="5">
        <v>75</v>
      </c>
      <c r="E53" s="23" t="s">
        <v>110</v>
      </c>
      <c r="F53" s="5" t="s">
        <v>441</v>
      </c>
      <c r="G53" s="5" t="s">
        <v>373</v>
      </c>
      <c r="H53" s="5" t="s">
        <v>82</v>
      </c>
      <c r="I53" s="5" t="s">
        <v>98</v>
      </c>
      <c r="J53" s="5" t="s">
        <v>442</v>
      </c>
      <c r="K53" s="5" t="s">
        <v>403</v>
      </c>
      <c r="M53" s="23"/>
      <c r="O53" s="23">
        <v>80</v>
      </c>
      <c r="P53" s="5">
        <v>97</v>
      </c>
      <c r="R53" s="5">
        <v>3</v>
      </c>
      <c r="S53" s="6">
        <v>44675</v>
      </c>
      <c r="T53" s="6">
        <v>44678</v>
      </c>
      <c r="U53" s="5">
        <v>3</v>
      </c>
      <c r="V53" s="25">
        <v>44678</v>
      </c>
      <c r="Y53" s="5" t="s">
        <v>443</v>
      </c>
      <c r="Z53" s="5" t="s">
        <v>170</v>
      </c>
      <c r="AA53" s="5" t="s">
        <v>104</v>
      </c>
      <c r="AB53" s="5">
        <v>3</v>
      </c>
      <c r="AC53" s="5" t="s">
        <v>388</v>
      </c>
      <c r="AD53" s="28">
        <v>131</v>
      </c>
      <c r="AF53" s="5">
        <v>11.7</v>
      </c>
      <c r="AH53" s="5">
        <v>20</v>
      </c>
      <c r="AJ53" s="5">
        <v>72</v>
      </c>
      <c r="AL53" s="5">
        <v>5</v>
      </c>
      <c r="AN53" s="5">
        <v>52</v>
      </c>
      <c r="AP53" s="5">
        <v>6</v>
      </c>
      <c r="AQ53" s="23"/>
      <c r="AT53" s="23"/>
      <c r="AU53" s="5">
        <v>206</v>
      </c>
      <c r="AY53" s="28">
        <v>33</v>
      </c>
      <c r="BA53" s="5">
        <v>9.6</v>
      </c>
      <c r="BC53" s="23">
        <v>4.7699999999999996</v>
      </c>
      <c r="BE53" s="5">
        <v>0.95</v>
      </c>
      <c r="BG53" s="5">
        <v>68</v>
      </c>
      <c r="BI53" s="5">
        <v>11.9</v>
      </c>
      <c r="BK53" s="5">
        <v>178</v>
      </c>
      <c r="BM53" s="5">
        <v>17</v>
      </c>
      <c r="BO53" s="5">
        <v>5.0999999999999996</v>
      </c>
      <c r="BQ53" s="5">
        <v>11.8</v>
      </c>
      <c r="BS53" s="5">
        <v>52.4</v>
      </c>
      <c r="BU53" s="5">
        <v>24.1</v>
      </c>
      <c r="BW53" s="5">
        <v>9</v>
      </c>
    </row>
    <row r="54" spans="1:77" x14ac:dyDescent="0.35">
      <c r="A54" s="10">
        <v>2</v>
      </c>
      <c r="B54" s="23">
        <v>1416</v>
      </c>
      <c r="C54" t="s">
        <v>444</v>
      </c>
      <c r="D54">
        <v>67</v>
      </c>
      <c r="E54" s="23" t="s">
        <v>445</v>
      </c>
      <c r="F54">
        <v>677611387</v>
      </c>
      <c r="G54" t="s">
        <v>446</v>
      </c>
      <c r="H54" t="s">
        <v>163</v>
      </c>
      <c r="I54" t="s">
        <v>113</v>
      </c>
      <c r="K54" t="s">
        <v>447</v>
      </c>
      <c r="L54" t="s">
        <v>448</v>
      </c>
      <c r="M54" s="23" t="s">
        <v>101</v>
      </c>
      <c r="O54" s="23">
        <v>94</v>
      </c>
      <c r="Q54">
        <v>97</v>
      </c>
      <c r="R54">
        <v>5</v>
      </c>
      <c r="S54" s="2">
        <v>44436</v>
      </c>
      <c r="T54" s="2">
        <v>44446</v>
      </c>
      <c r="U54">
        <v>10</v>
      </c>
      <c r="W54">
        <v>3</v>
      </c>
      <c r="X54">
        <v>2</v>
      </c>
      <c r="Z54" t="s">
        <v>91</v>
      </c>
      <c r="AA54" t="s">
        <v>90</v>
      </c>
      <c r="AC54" t="s">
        <v>449</v>
      </c>
      <c r="AD54" s="28">
        <v>152</v>
      </c>
      <c r="AE54">
        <v>156</v>
      </c>
      <c r="AF54">
        <v>17.100000000000001</v>
      </c>
      <c r="AG54">
        <v>13.1</v>
      </c>
      <c r="AH54">
        <v>16</v>
      </c>
      <c r="AI54">
        <v>13</v>
      </c>
      <c r="AJ54">
        <v>74</v>
      </c>
      <c r="AK54">
        <v>80</v>
      </c>
      <c r="AL54">
        <v>9</v>
      </c>
      <c r="AM54">
        <v>4</v>
      </c>
      <c r="AN54">
        <v>8</v>
      </c>
      <c r="AO54">
        <v>3</v>
      </c>
      <c r="AP54">
        <v>6</v>
      </c>
      <c r="AQ54" s="23">
        <v>5</v>
      </c>
      <c r="AY54" s="28">
        <v>44</v>
      </c>
      <c r="AZ54">
        <v>57</v>
      </c>
      <c r="BA54">
        <v>22</v>
      </c>
      <c r="BB54">
        <v>23</v>
      </c>
      <c r="BC54" s="23">
        <v>4.5999999999999996</v>
      </c>
      <c r="BD54">
        <v>3.6</v>
      </c>
      <c r="BG54">
        <v>70</v>
      </c>
      <c r="BH54">
        <v>68</v>
      </c>
      <c r="BI54">
        <v>13</v>
      </c>
      <c r="BJ54">
        <v>10</v>
      </c>
      <c r="BK54">
        <v>187</v>
      </c>
      <c r="BL54">
        <v>127</v>
      </c>
      <c r="BM54">
        <v>13.6</v>
      </c>
      <c r="BN54">
        <v>15.3</v>
      </c>
      <c r="BO54">
        <v>3.4</v>
      </c>
      <c r="BP54">
        <v>5.0999999999999996</v>
      </c>
      <c r="BQ54">
        <v>10.199999999999999</v>
      </c>
      <c r="BR54">
        <v>10.3</v>
      </c>
      <c r="BS54">
        <v>2.2999999999999998</v>
      </c>
      <c r="BT54">
        <v>2.9</v>
      </c>
      <c r="BU54">
        <v>2.4</v>
      </c>
      <c r="BV54">
        <v>2.8</v>
      </c>
      <c r="BW54">
        <v>7</v>
      </c>
      <c r="BX54">
        <v>6</v>
      </c>
      <c r="BY54" t="s">
        <v>450</v>
      </c>
    </row>
    <row r="55" spans="1:77" x14ac:dyDescent="0.35">
      <c r="A55" s="10">
        <v>2</v>
      </c>
      <c r="B55" s="23" t="s">
        <v>451</v>
      </c>
      <c r="C55" t="s">
        <v>452</v>
      </c>
      <c r="D55">
        <v>72</v>
      </c>
      <c r="E55" s="23" t="s">
        <v>453</v>
      </c>
      <c r="F55" t="s">
        <v>454</v>
      </c>
      <c r="G55" t="s">
        <v>455</v>
      </c>
      <c r="H55" t="s">
        <v>456</v>
      </c>
      <c r="I55" t="s">
        <v>98</v>
      </c>
      <c r="K55" t="s">
        <v>457</v>
      </c>
      <c r="L55" s="4">
        <v>0.8</v>
      </c>
      <c r="M55" s="23" t="s">
        <v>456</v>
      </c>
      <c r="O55" s="23">
        <v>81</v>
      </c>
      <c r="P55">
        <v>94</v>
      </c>
      <c r="Q55">
        <v>92</v>
      </c>
      <c r="R55">
        <v>9</v>
      </c>
      <c r="S55" s="2">
        <v>44252</v>
      </c>
      <c r="T55" s="2">
        <v>44446</v>
      </c>
      <c r="U55">
        <v>12</v>
      </c>
      <c r="W55">
        <v>4</v>
      </c>
      <c r="X55">
        <v>3</v>
      </c>
      <c r="Y55">
        <v>2</v>
      </c>
      <c r="Z55" t="s">
        <v>458</v>
      </c>
      <c r="AA55" t="s">
        <v>91</v>
      </c>
      <c r="AB55">
        <v>10</v>
      </c>
      <c r="AC55" t="s">
        <v>459</v>
      </c>
      <c r="AD55" s="28">
        <v>160</v>
      </c>
      <c r="AE55">
        <v>142</v>
      </c>
      <c r="AF55">
        <v>4.8</v>
      </c>
      <c r="AG55">
        <v>8.6</v>
      </c>
      <c r="AH55">
        <v>6</v>
      </c>
      <c r="AI55">
        <v>7</v>
      </c>
      <c r="AJ55">
        <v>80</v>
      </c>
      <c r="AK55">
        <v>32</v>
      </c>
      <c r="AL55">
        <v>13</v>
      </c>
      <c r="AM55">
        <v>27</v>
      </c>
      <c r="AN55">
        <v>7</v>
      </c>
      <c r="AO55">
        <v>26</v>
      </c>
      <c r="AP55">
        <v>15</v>
      </c>
      <c r="AQ55" s="23">
        <v>8</v>
      </c>
      <c r="AY55" s="28">
        <v>46</v>
      </c>
      <c r="AZ55">
        <v>40</v>
      </c>
      <c r="BA55">
        <v>24</v>
      </c>
      <c r="BB55">
        <v>25</v>
      </c>
      <c r="BC55" s="23">
        <v>6</v>
      </c>
      <c r="BD55">
        <v>4.5999999999999996</v>
      </c>
      <c r="BG55">
        <v>70</v>
      </c>
      <c r="BH55">
        <v>74</v>
      </c>
      <c r="BI55">
        <v>4.7</v>
      </c>
      <c r="BJ55">
        <v>10</v>
      </c>
      <c r="BK55">
        <v>70</v>
      </c>
      <c r="BL55">
        <v>127</v>
      </c>
      <c r="BM55">
        <v>13.6</v>
      </c>
      <c r="BN55">
        <v>22.1</v>
      </c>
      <c r="BO55">
        <v>3.4</v>
      </c>
      <c r="BP55">
        <v>4</v>
      </c>
      <c r="BQ55">
        <v>10</v>
      </c>
      <c r="BR55">
        <v>10</v>
      </c>
      <c r="BS55">
        <v>2.4</v>
      </c>
      <c r="BT55">
        <v>2.8</v>
      </c>
      <c r="BU55">
        <v>2.2999999999999998</v>
      </c>
      <c r="BV55">
        <v>2.7</v>
      </c>
      <c r="BW55">
        <v>4</v>
      </c>
      <c r="BX55">
        <v>4</v>
      </c>
      <c r="BY55" t="s">
        <v>460</v>
      </c>
    </row>
    <row r="56" spans="1:77" x14ac:dyDescent="0.35">
      <c r="A56" s="10">
        <v>2</v>
      </c>
      <c r="B56" s="23" t="s">
        <v>461</v>
      </c>
      <c r="C56" t="s">
        <v>462</v>
      </c>
      <c r="D56">
        <v>71</v>
      </c>
      <c r="E56" s="23" t="s">
        <v>445</v>
      </c>
      <c r="F56" t="s">
        <v>463</v>
      </c>
      <c r="G56" t="s">
        <v>464</v>
      </c>
      <c r="H56" t="s">
        <v>82</v>
      </c>
      <c r="I56" t="s">
        <v>183</v>
      </c>
      <c r="K56" t="s">
        <v>447</v>
      </c>
      <c r="L56" s="4">
        <v>0.7</v>
      </c>
      <c r="M56" s="23" t="s">
        <v>456</v>
      </c>
      <c r="O56" s="23">
        <v>83</v>
      </c>
      <c r="P56">
        <v>95</v>
      </c>
      <c r="Q56">
        <v>96</v>
      </c>
      <c r="R56">
        <v>8</v>
      </c>
      <c r="S56" s="2">
        <v>44440</v>
      </c>
      <c r="T56" s="2">
        <v>44450</v>
      </c>
      <c r="U56">
        <v>10</v>
      </c>
      <c r="W56">
        <v>3</v>
      </c>
      <c r="X56">
        <v>3</v>
      </c>
      <c r="Z56" t="s">
        <v>135</v>
      </c>
      <c r="AA56" t="s">
        <v>104</v>
      </c>
      <c r="AB56">
        <v>7</v>
      </c>
      <c r="AC56" t="s">
        <v>465</v>
      </c>
      <c r="AD56" s="28">
        <v>161</v>
      </c>
      <c r="AE56">
        <v>137</v>
      </c>
      <c r="AF56">
        <v>4</v>
      </c>
      <c r="AG56">
        <v>5.5</v>
      </c>
      <c r="AH56">
        <v>17</v>
      </c>
      <c r="AI56">
        <v>2</v>
      </c>
      <c r="AJ56">
        <v>63</v>
      </c>
      <c r="AK56">
        <v>86</v>
      </c>
      <c r="AL56">
        <v>18</v>
      </c>
      <c r="AM56">
        <v>11</v>
      </c>
      <c r="AN56">
        <v>20</v>
      </c>
      <c r="AO56">
        <v>11</v>
      </c>
      <c r="AY56" s="28">
        <v>44</v>
      </c>
      <c r="AZ56">
        <v>48</v>
      </c>
      <c r="BA56">
        <v>21</v>
      </c>
      <c r="BB56">
        <v>20</v>
      </c>
      <c r="BC56" s="23">
        <v>8</v>
      </c>
      <c r="BD56">
        <v>4.5999999999999996</v>
      </c>
      <c r="BG56">
        <v>62</v>
      </c>
      <c r="BH56">
        <v>58</v>
      </c>
      <c r="BI56">
        <v>13</v>
      </c>
      <c r="BJ56">
        <v>9.4</v>
      </c>
      <c r="BK56">
        <v>157</v>
      </c>
      <c r="BL56">
        <v>121</v>
      </c>
      <c r="BM56">
        <v>17</v>
      </c>
      <c r="BN56">
        <v>17.100000000000001</v>
      </c>
      <c r="BO56">
        <v>5.3</v>
      </c>
      <c r="BP56">
        <v>4.5</v>
      </c>
      <c r="BQ56">
        <v>11.2</v>
      </c>
      <c r="BR56">
        <v>10.5</v>
      </c>
      <c r="BS56">
        <v>2.9</v>
      </c>
      <c r="BT56">
        <v>1.2</v>
      </c>
      <c r="BU56">
        <v>2.8</v>
      </c>
      <c r="BV56">
        <v>1</v>
      </c>
      <c r="BW56">
        <v>5.6</v>
      </c>
      <c r="BX56">
        <v>8.1</v>
      </c>
    </row>
    <row r="57" spans="1:77" x14ac:dyDescent="0.35">
      <c r="A57" s="10">
        <v>2</v>
      </c>
      <c r="B57" s="23" t="s">
        <v>466</v>
      </c>
      <c r="C57" t="s">
        <v>467</v>
      </c>
      <c r="D57">
        <v>59</v>
      </c>
      <c r="E57" s="23" t="s">
        <v>453</v>
      </c>
      <c r="F57">
        <v>503516199</v>
      </c>
      <c r="G57" t="s">
        <v>446</v>
      </c>
      <c r="H57" t="s">
        <v>163</v>
      </c>
      <c r="I57" t="s">
        <v>164</v>
      </c>
      <c r="K57" t="s">
        <v>468</v>
      </c>
      <c r="L57" s="4">
        <v>0.25</v>
      </c>
      <c r="M57" s="23" t="s">
        <v>101</v>
      </c>
      <c r="O57" s="23">
        <v>95</v>
      </c>
      <c r="Q57">
        <v>97</v>
      </c>
      <c r="R57">
        <v>6</v>
      </c>
      <c r="S57" s="2">
        <v>44444</v>
      </c>
      <c r="T57" s="2">
        <v>44454</v>
      </c>
      <c r="U57">
        <v>10</v>
      </c>
      <c r="W57">
        <v>2</v>
      </c>
      <c r="X57">
        <v>3</v>
      </c>
      <c r="Z57" t="s">
        <v>329</v>
      </c>
      <c r="AA57" t="s">
        <v>469</v>
      </c>
      <c r="AC57" t="s">
        <v>470</v>
      </c>
      <c r="AD57" s="28">
        <v>153</v>
      </c>
      <c r="AE57">
        <v>142</v>
      </c>
      <c r="AF57">
        <v>5.0999999999999996</v>
      </c>
      <c r="AG57">
        <v>6.9</v>
      </c>
      <c r="AH57">
        <v>14</v>
      </c>
      <c r="AI57">
        <v>1</v>
      </c>
      <c r="AJ57">
        <v>58</v>
      </c>
      <c r="AK57">
        <v>67</v>
      </c>
      <c r="AL57">
        <v>25</v>
      </c>
      <c r="AM57">
        <v>28</v>
      </c>
      <c r="AN57">
        <v>27</v>
      </c>
      <c r="AO57">
        <v>8</v>
      </c>
      <c r="AY57" s="28">
        <v>44</v>
      </c>
      <c r="AZ57">
        <v>50</v>
      </c>
      <c r="BA57">
        <v>18</v>
      </c>
      <c r="BB57">
        <v>15</v>
      </c>
      <c r="BC57" s="23">
        <v>7.7</v>
      </c>
      <c r="BD57">
        <v>4.3</v>
      </c>
      <c r="BG57">
        <v>58</v>
      </c>
      <c r="BH57">
        <v>62</v>
      </c>
      <c r="BI57">
        <v>4</v>
      </c>
      <c r="BK57">
        <v>67</v>
      </c>
      <c r="BM57">
        <v>13.6</v>
      </c>
      <c r="BN57">
        <v>11.9</v>
      </c>
      <c r="BO57">
        <v>3.4</v>
      </c>
      <c r="BP57">
        <v>3.4</v>
      </c>
      <c r="BQ57">
        <v>10.199999999999999</v>
      </c>
      <c r="BR57">
        <v>8.5</v>
      </c>
      <c r="BS57">
        <v>2.6</v>
      </c>
      <c r="BT57">
        <v>0.8</v>
      </c>
      <c r="BU57">
        <v>2.5</v>
      </c>
      <c r="BV57">
        <v>0.4</v>
      </c>
      <c r="BW57">
        <v>6.8</v>
      </c>
      <c r="BX57">
        <v>5.8</v>
      </c>
      <c r="BY57" t="s">
        <v>471</v>
      </c>
    </row>
    <row r="58" spans="1:77" x14ac:dyDescent="0.35">
      <c r="A58" s="10">
        <v>2</v>
      </c>
      <c r="B58" s="23" t="s">
        <v>472</v>
      </c>
      <c r="C58" t="s">
        <v>473</v>
      </c>
      <c r="D58">
        <v>58</v>
      </c>
      <c r="E58" s="23" t="s">
        <v>445</v>
      </c>
      <c r="F58">
        <v>964398286</v>
      </c>
      <c r="G58" t="s">
        <v>446</v>
      </c>
      <c r="H58" t="s">
        <v>163</v>
      </c>
      <c r="I58" t="s">
        <v>164</v>
      </c>
      <c r="K58" t="s">
        <v>474</v>
      </c>
      <c r="L58" s="4">
        <v>0.25</v>
      </c>
      <c r="M58" s="23" t="s">
        <v>101</v>
      </c>
      <c r="O58" s="23">
        <v>94</v>
      </c>
      <c r="Q58">
        <v>96</v>
      </c>
      <c r="R58">
        <v>10</v>
      </c>
      <c r="S58" s="2">
        <v>44444</v>
      </c>
      <c r="T58" s="2">
        <v>44454</v>
      </c>
      <c r="U58">
        <v>10</v>
      </c>
      <c r="X58">
        <v>4</v>
      </c>
      <c r="Y58">
        <v>2</v>
      </c>
      <c r="Z58" t="s">
        <v>104</v>
      </c>
      <c r="AA58" t="s">
        <v>329</v>
      </c>
      <c r="AC58" t="s">
        <v>465</v>
      </c>
      <c r="AD58" s="28">
        <v>139</v>
      </c>
      <c r="AE58">
        <v>100</v>
      </c>
      <c r="AF58">
        <v>7</v>
      </c>
      <c r="AG58">
        <v>6.8</v>
      </c>
      <c r="AH58">
        <v>8</v>
      </c>
      <c r="AI58">
        <v>6</v>
      </c>
      <c r="AJ58">
        <v>74</v>
      </c>
      <c r="AK58">
        <v>64</v>
      </c>
      <c r="AL58">
        <v>17</v>
      </c>
      <c r="AM58">
        <v>29</v>
      </c>
      <c r="AN58">
        <v>42</v>
      </c>
      <c r="AO58">
        <v>4</v>
      </c>
      <c r="AY58" s="28">
        <v>40</v>
      </c>
      <c r="AZ58">
        <v>46</v>
      </c>
      <c r="BA58">
        <v>19</v>
      </c>
      <c r="BB58">
        <v>17</v>
      </c>
      <c r="BC58" s="23">
        <v>4.5999999999999996</v>
      </c>
      <c r="BD58">
        <v>3.55</v>
      </c>
      <c r="BG58">
        <v>70</v>
      </c>
      <c r="BH58">
        <v>72</v>
      </c>
      <c r="BI58">
        <v>4</v>
      </c>
      <c r="BK58">
        <v>67</v>
      </c>
      <c r="BM58">
        <v>17.100000000000001</v>
      </c>
      <c r="BN58">
        <v>15.3</v>
      </c>
      <c r="BO58">
        <v>6.8</v>
      </c>
      <c r="BP58">
        <v>5.0999999999999996</v>
      </c>
      <c r="BQ58">
        <v>10.199999999999999</v>
      </c>
      <c r="BR58">
        <v>10.3</v>
      </c>
      <c r="BS58">
        <v>0.8</v>
      </c>
      <c r="BT58">
        <v>2.6</v>
      </c>
      <c r="BU58">
        <v>0.6</v>
      </c>
      <c r="BV58">
        <v>2.5</v>
      </c>
      <c r="BW58">
        <v>12.5</v>
      </c>
      <c r="BX58">
        <v>14</v>
      </c>
      <c r="BY58" t="s">
        <v>475</v>
      </c>
    </row>
    <row r="59" spans="1:77" x14ac:dyDescent="0.35">
      <c r="A59" s="10">
        <v>2</v>
      </c>
      <c r="B59" s="23" t="s">
        <v>476</v>
      </c>
      <c r="C59" t="s">
        <v>477</v>
      </c>
      <c r="D59">
        <v>61</v>
      </c>
      <c r="E59" s="23" t="s">
        <v>445</v>
      </c>
      <c r="F59">
        <v>967464397</v>
      </c>
      <c r="G59" t="s">
        <v>446</v>
      </c>
      <c r="H59" t="s">
        <v>163</v>
      </c>
      <c r="I59" t="s">
        <v>199</v>
      </c>
      <c r="K59" t="s">
        <v>478</v>
      </c>
      <c r="L59" s="4">
        <v>0.3</v>
      </c>
      <c r="M59" s="23" t="s">
        <v>101</v>
      </c>
      <c r="O59" s="23">
        <v>90</v>
      </c>
      <c r="Q59">
        <v>97</v>
      </c>
      <c r="R59">
        <v>7</v>
      </c>
      <c r="S59" s="2">
        <v>44440</v>
      </c>
      <c r="T59" s="2">
        <v>44450</v>
      </c>
      <c r="U59">
        <v>10</v>
      </c>
      <c r="W59">
        <v>3</v>
      </c>
      <c r="X59">
        <v>3</v>
      </c>
      <c r="Y59">
        <v>4</v>
      </c>
      <c r="Z59" t="s">
        <v>135</v>
      </c>
      <c r="AA59" t="s">
        <v>170</v>
      </c>
      <c r="AB59">
        <v>4</v>
      </c>
      <c r="AC59" t="s">
        <v>470</v>
      </c>
      <c r="AD59" s="28">
        <v>156</v>
      </c>
      <c r="AE59">
        <v>143</v>
      </c>
      <c r="AF59">
        <v>2.9</v>
      </c>
      <c r="AG59">
        <v>6.2</v>
      </c>
      <c r="AH59">
        <v>12</v>
      </c>
      <c r="AI59">
        <v>15</v>
      </c>
      <c r="AJ59">
        <v>62</v>
      </c>
      <c r="AK59">
        <v>65</v>
      </c>
      <c r="AL59">
        <v>22</v>
      </c>
      <c r="AM59">
        <v>15</v>
      </c>
      <c r="AN59">
        <v>22</v>
      </c>
      <c r="AO59">
        <v>45</v>
      </c>
      <c r="AY59" s="28">
        <v>46</v>
      </c>
      <c r="AZ59">
        <v>53</v>
      </c>
      <c r="BA59">
        <v>18</v>
      </c>
      <c r="BB59">
        <v>23</v>
      </c>
      <c r="BC59" s="23">
        <v>7.1</v>
      </c>
      <c r="BD59">
        <v>11.1</v>
      </c>
      <c r="BG59">
        <v>68</v>
      </c>
      <c r="BH59">
        <v>62</v>
      </c>
      <c r="BI59">
        <v>6.4</v>
      </c>
      <c r="BJ59">
        <v>4.9000000000000004</v>
      </c>
      <c r="BK59">
        <v>92</v>
      </c>
      <c r="BL59">
        <v>76</v>
      </c>
      <c r="BM59">
        <v>30.6</v>
      </c>
      <c r="BN59">
        <v>13.6</v>
      </c>
      <c r="BO59">
        <v>3.5</v>
      </c>
      <c r="BP59">
        <v>3.4</v>
      </c>
      <c r="BQ59">
        <v>10.199999999999999</v>
      </c>
      <c r="BR59">
        <v>10.1</v>
      </c>
      <c r="BS59">
        <v>2.1</v>
      </c>
      <c r="BT59">
        <v>0.8</v>
      </c>
      <c r="BU59">
        <v>2</v>
      </c>
      <c r="BV59">
        <v>0.6</v>
      </c>
      <c r="BW59">
        <v>7.5</v>
      </c>
      <c r="BX59">
        <v>4.7</v>
      </c>
      <c r="BY59" t="s">
        <v>479</v>
      </c>
    </row>
    <row r="60" spans="1:77" x14ac:dyDescent="0.35">
      <c r="A60" s="10">
        <v>2</v>
      </c>
      <c r="B60" s="23" t="s">
        <v>480</v>
      </c>
      <c r="C60" t="s">
        <v>481</v>
      </c>
      <c r="D60">
        <v>55</v>
      </c>
      <c r="E60" s="23" t="s">
        <v>445</v>
      </c>
      <c r="F60">
        <v>634193039</v>
      </c>
      <c r="G60" t="s">
        <v>446</v>
      </c>
      <c r="H60" t="s">
        <v>163</v>
      </c>
      <c r="I60" t="s">
        <v>199</v>
      </c>
      <c r="K60" t="s">
        <v>482</v>
      </c>
      <c r="L60" s="4">
        <v>0.3</v>
      </c>
      <c r="M60" s="23" t="s">
        <v>101</v>
      </c>
      <c r="O60" s="23">
        <v>89</v>
      </c>
      <c r="P60">
        <v>96</v>
      </c>
      <c r="Q60">
        <v>97</v>
      </c>
      <c r="R60">
        <v>8</v>
      </c>
      <c r="S60" s="2">
        <v>44516</v>
      </c>
      <c r="T60" s="2">
        <v>44531</v>
      </c>
      <c r="U60">
        <v>15</v>
      </c>
      <c r="W60">
        <v>3</v>
      </c>
      <c r="X60">
        <v>2</v>
      </c>
      <c r="Z60" t="s">
        <v>91</v>
      </c>
      <c r="AA60" t="s">
        <v>119</v>
      </c>
      <c r="AB60">
        <v>4</v>
      </c>
      <c r="AC60" t="s">
        <v>483</v>
      </c>
      <c r="AD60" s="28">
        <v>172</v>
      </c>
      <c r="AE60">
        <v>144</v>
      </c>
      <c r="AF60">
        <v>6.3</v>
      </c>
      <c r="AG60">
        <v>8.6999999999999993</v>
      </c>
      <c r="AH60">
        <v>9</v>
      </c>
      <c r="AI60">
        <v>15</v>
      </c>
      <c r="AJ60">
        <v>70</v>
      </c>
      <c r="AK60">
        <v>71</v>
      </c>
      <c r="AL60">
        <v>19</v>
      </c>
      <c r="AM60">
        <v>8</v>
      </c>
      <c r="AN60">
        <v>19</v>
      </c>
      <c r="AO60">
        <v>23</v>
      </c>
      <c r="AP60">
        <v>18</v>
      </c>
      <c r="AQ60" s="23">
        <v>12</v>
      </c>
      <c r="AR60">
        <v>29.3</v>
      </c>
      <c r="AS60">
        <v>11.2</v>
      </c>
      <c r="AU60">
        <v>358</v>
      </c>
      <c r="AV60">
        <v>210</v>
      </c>
      <c r="AX60">
        <v>0.13800000000000001</v>
      </c>
      <c r="AY60" s="28">
        <v>48</v>
      </c>
      <c r="AZ60">
        <v>52</v>
      </c>
      <c r="BA60">
        <v>11.8</v>
      </c>
      <c r="BB60">
        <v>13.3</v>
      </c>
      <c r="BC60" s="23">
        <v>3.81</v>
      </c>
      <c r="BD60">
        <v>3</v>
      </c>
      <c r="BE60">
        <v>1.1100000000000001</v>
      </c>
      <c r="BF60">
        <v>1.27</v>
      </c>
      <c r="BG60">
        <v>60</v>
      </c>
      <c r="BH60">
        <v>61</v>
      </c>
      <c r="BI60">
        <v>13</v>
      </c>
      <c r="BJ60">
        <v>9.6999999999999993</v>
      </c>
      <c r="BK60">
        <v>157</v>
      </c>
      <c r="BL60">
        <v>127</v>
      </c>
      <c r="BM60">
        <v>20.399999999999999</v>
      </c>
      <c r="BN60">
        <v>22.1</v>
      </c>
      <c r="BO60">
        <v>6.8</v>
      </c>
      <c r="BP60">
        <v>6.8</v>
      </c>
      <c r="BQ60">
        <v>13.6</v>
      </c>
      <c r="BR60">
        <v>15.3</v>
      </c>
      <c r="BS60">
        <v>138</v>
      </c>
      <c r="BT60">
        <v>43.03</v>
      </c>
      <c r="BU60">
        <v>74</v>
      </c>
      <c r="BV60">
        <v>62.5</v>
      </c>
      <c r="BW60">
        <v>9.8000000000000007</v>
      </c>
      <c r="BX60">
        <v>3.7</v>
      </c>
      <c r="BY60" t="s">
        <v>484</v>
      </c>
    </row>
    <row r="61" spans="1:77" x14ac:dyDescent="0.35">
      <c r="A61" s="10">
        <v>2</v>
      </c>
      <c r="B61" s="23" t="s">
        <v>485</v>
      </c>
      <c r="C61" t="s">
        <v>486</v>
      </c>
      <c r="D61">
        <v>59</v>
      </c>
      <c r="E61" s="23" t="s">
        <v>445</v>
      </c>
      <c r="F61">
        <v>991566979</v>
      </c>
      <c r="G61" t="s">
        <v>455</v>
      </c>
      <c r="H61" t="s">
        <v>82</v>
      </c>
      <c r="I61" t="s">
        <v>183</v>
      </c>
      <c r="K61" t="s">
        <v>487</v>
      </c>
      <c r="L61" t="s">
        <v>488</v>
      </c>
      <c r="M61" s="23" t="s">
        <v>82</v>
      </c>
      <c r="O61" s="23">
        <v>90</v>
      </c>
      <c r="P61">
        <v>97</v>
      </c>
      <c r="Q61">
        <v>95</v>
      </c>
      <c r="R61">
        <v>11</v>
      </c>
      <c r="S61" s="2">
        <v>44506</v>
      </c>
      <c r="T61" s="2">
        <v>44492</v>
      </c>
      <c r="U61">
        <v>17</v>
      </c>
      <c r="W61">
        <v>4</v>
      </c>
      <c r="X61">
        <v>3</v>
      </c>
      <c r="Z61" t="s">
        <v>91</v>
      </c>
      <c r="AA61" t="s">
        <v>104</v>
      </c>
      <c r="AB61">
        <v>8</v>
      </c>
      <c r="AC61" t="s">
        <v>489</v>
      </c>
      <c r="AD61" s="28">
        <v>160</v>
      </c>
      <c r="AE61">
        <v>156</v>
      </c>
      <c r="AF61">
        <v>9.6</v>
      </c>
      <c r="AG61">
        <v>17.5</v>
      </c>
      <c r="AH61">
        <v>6</v>
      </c>
      <c r="AI61">
        <v>12</v>
      </c>
      <c r="AJ61">
        <v>80</v>
      </c>
      <c r="AK61">
        <v>63</v>
      </c>
      <c r="AL61">
        <v>8</v>
      </c>
      <c r="AM61">
        <v>23</v>
      </c>
      <c r="AN61">
        <v>6</v>
      </c>
      <c r="AO61">
        <v>5</v>
      </c>
      <c r="AP61">
        <v>36</v>
      </c>
      <c r="AQ61" s="23">
        <v>18</v>
      </c>
      <c r="AR61">
        <v>21.1</v>
      </c>
      <c r="AX61">
        <v>0.1</v>
      </c>
      <c r="AY61" s="28">
        <v>44</v>
      </c>
      <c r="AZ61">
        <v>43</v>
      </c>
      <c r="BA61">
        <v>12.4</v>
      </c>
      <c r="BB61">
        <v>9</v>
      </c>
      <c r="BC61" s="23">
        <v>3.1</v>
      </c>
      <c r="BD61">
        <v>2.6</v>
      </c>
      <c r="BE61">
        <v>1.18</v>
      </c>
      <c r="BF61">
        <v>0.87</v>
      </c>
      <c r="BG61">
        <v>60</v>
      </c>
      <c r="BH61">
        <v>60</v>
      </c>
      <c r="BI61">
        <v>5.6</v>
      </c>
      <c r="BJ61">
        <v>3.4</v>
      </c>
      <c r="BK61">
        <v>101</v>
      </c>
      <c r="BL61">
        <v>66.099999999999994</v>
      </c>
      <c r="BM61">
        <v>13.6</v>
      </c>
      <c r="BO61">
        <v>5.6</v>
      </c>
      <c r="BQ61">
        <v>10.5</v>
      </c>
      <c r="BS61">
        <v>65</v>
      </c>
      <c r="BT61">
        <v>11.9</v>
      </c>
      <c r="BU61">
        <v>84</v>
      </c>
      <c r="BV61">
        <v>7.4</v>
      </c>
      <c r="BW61">
        <v>6.5</v>
      </c>
      <c r="BX61">
        <v>6.1</v>
      </c>
      <c r="BY61" t="s">
        <v>490</v>
      </c>
    </row>
    <row r="62" spans="1:77" x14ac:dyDescent="0.35">
      <c r="A62" s="10">
        <v>2</v>
      </c>
      <c r="B62" s="23" t="s">
        <v>491</v>
      </c>
      <c r="C62" t="s">
        <v>492</v>
      </c>
      <c r="D62">
        <v>37</v>
      </c>
      <c r="E62" s="23" t="s">
        <v>445</v>
      </c>
      <c r="F62">
        <v>686795965</v>
      </c>
      <c r="G62" t="s">
        <v>446</v>
      </c>
      <c r="H62" t="s">
        <v>163</v>
      </c>
      <c r="I62" t="s">
        <v>164</v>
      </c>
      <c r="K62" t="s">
        <v>493</v>
      </c>
      <c r="L62" s="4">
        <v>0.1</v>
      </c>
      <c r="M62" s="23" t="s">
        <v>494</v>
      </c>
      <c r="O62" s="23">
        <v>95</v>
      </c>
      <c r="Q62">
        <v>97</v>
      </c>
      <c r="R62">
        <v>3</v>
      </c>
      <c r="S62" s="2">
        <v>44363</v>
      </c>
      <c r="T62" s="2">
        <v>44379</v>
      </c>
      <c r="U62">
        <v>16</v>
      </c>
      <c r="W62">
        <v>1</v>
      </c>
      <c r="X62">
        <v>4</v>
      </c>
      <c r="Y62">
        <v>5</v>
      </c>
      <c r="Z62" t="s">
        <v>104</v>
      </c>
      <c r="AA62" t="s">
        <v>104</v>
      </c>
      <c r="AC62" t="s">
        <v>470</v>
      </c>
      <c r="AD62" s="28">
        <v>140</v>
      </c>
      <c r="AE62">
        <v>138</v>
      </c>
      <c r="AF62">
        <v>2.8</v>
      </c>
      <c r="AG62">
        <v>5.2</v>
      </c>
      <c r="AH62">
        <v>19</v>
      </c>
      <c r="AI62">
        <v>7</v>
      </c>
      <c r="AJ62">
        <v>42</v>
      </c>
      <c r="AK62">
        <v>69</v>
      </c>
      <c r="AL62">
        <v>38</v>
      </c>
      <c r="AM62">
        <v>20</v>
      </c>
      <c r="AN62">
        <v>4</v>
      </c>
      <c r="AO62">
        <v>8</v>
      </c>
      <c r="AP62">
        <v>20</v>
      </c>
      <c r="AQ62" s="23">
        <v>7</v>
      </c>
      <c r="AY62" s="28">
        <v>40</v>
      </c>
      <c r="AZ62">
        <v>37</v>
      </c>
      <c r="BA62">
        <v>28</v>
      </c>
      <c r="BB62">
        <v>26</v>
      </c>
      <c r="BC62" s="23">
        <v>3.99</v>
      </c>
      <c r="BD62">
        <v>2.66</v>
      </c>
      <c r="BG62">
        <v>65</v>
      </c>
      <c r="BH62">
        <v>64</v>
      </c>
      <c r="BI62">
        <v>7.4</v>
      </c>
      <c r="BJ62">
        <v>11</v>
      </c>
      <c r="BK62">
        <v>130</v>
      </c>
      <c r="BL62">
        <v>137</v>
      </c>
      <c r="BM62">
        <v>13.6</v>
      </c>
      <c r="BN62">
        <v>15.3</v>
      </c>
      <c r="BO62">
        <v>3.4</v>
      </c>
      <c r="BP62">
        <v>5.0999999999999996</v>
      </c>
      <c r="BQ62">
        <v>10.199999999999999</v>
      </c>
      <c r="BR62">
        <v>10.199999999999999</v>
      </c>
      <c r="BS62">
        <v>1</v>
      </c>
      <c r="BT62">
        <v>2.8</v>
      </c>
      <c r="BU62">
        <v>0.8</v>
      </c>
      <c r="BV62">
        <v>2.7</v>
      </c>
      <c r="BW62">
        <v>5.0999999999999996</v>
      </c>
      <c r="BX62">
        <v>4</v>
      </c>
    </row>
    <row r="63" spans="1:77" x14ac:dyDescent="0.35">
      <c r="A63" s="10">
        <v>2</v>
      </c>
      <c r="B63" s="23" t="s">
        <v>495</v>
      </c>
      <c r="C63" t="s">
        <v>496</v>
      </c>
      <c r="D63">
        <v>47</v>
      </c>
      <c r="E63" s="23" t="s">
        <v>453</v>
      </c>
      <c r="F63">
        <v>637056709</v>
      </c>
      <c r="G63" t="s">
        <v>455</v>
      </c>
      <c r="H63" t="s">
        <v>82</v>
      </c>
      <c r="I63" t="s">
        <v>183</v>
      </c>
      <c r="K63" t="s">
        <v>497</v>
      </c>
      <c r="L63" s="4">
        <v>0.7</v>
      </c>
      <c r="M63" s="23" t="s">
        <v>456</v>
      </c>
      <c r="O63" s="23">
        <v>78</v>
      </c>
      <c r="P63">
        <v>93</v>
      </c>
      <c r="Q63">
        <v>94</v>
      </c>
      <c r="R63">
        <v>6</v>
      </c>
      <c r="S63" s="2">
        <v>44291</v>
      </c>
      <c r="T63" s="2">
        <v>44313</v>
      </c>
      <c r="U63">
        <v>22</v>
      </c>
      <c r="W63">
        <v>5</v>
      </c>
      <c r="X63">
        <v>6</v>
      </c>
      <c r="Y63">
        <v>5</v>
      </c>
      <c r="Z63" t="s">
        <v>104</v>
      </c>
      <c r="AA63" t="s">
        <v>171</v>
      </c>
      <c r="AB63">
        <v>18</v>
      </c>
      <c r="AC63" t="s">
        <v>498</v>
      </c>
      <c r="AD63" s="28">
        <v>138</v>
      </c>
      <c r="AE63">
        <v>140</v>
      </c>
      <c r="AF63">
        <v>7.3</v>
      </c>
      <c r="AG63">
        <v>4.0999999999999996</v>
      </c>
      <c r="AH63">
        <v>23</v>
      </c>
      <c r="AI63">
        <v>12</v>
      </c>
      <c r="AJ63">
        <v>61</v>
      </c>
      <c r="AK63">
        <v>49</v>
      </c>
      <c r="AL63">
        <v>12</v>
      </c>
      <c r="AM63">
        <v>37</v>
      </c>
      <c r="AN63">
        <v>31</v>
      </c>
      <c r="AO63">
        <v>26</v>
      </c>
      <c r="AP63">
        <v>25</v>
      </c>
      <c r="AQ63" s="23">
        <v>5</v>
      </c>
      <c r="AY63" s="28">
        <v>48</v>
      </c>
      <c r="AZ63">
        <v>47</v>
      </c>
      <c r="BA63">
        <v>18</v>
      </c>
      <c r="BB63">
        <v>18</v>
      </c>
      <c r="BC63" s="23">
        <v>8.6</v>
      </c>
      <c r="BD63">
        <v>4</v>
      </c>
      <c r="BG63">
        <v>64</v>
      </c>
      <c r="BH63">
        <v>56</v>
      </c>
      <c r="BI63">
        <v>12.9</v>
      </c>
      <c r="BJ63">
        <v>4.9000000000000004</v>
      </c>
      <c r="BK63">
        <v>129</v>
      </c>
      <c r="BL63">
        <v>99</v>
      </c>
      <c r="BM63">
        <v>13.6</v>
      </c>
      <c r="BN63">
        <v>13.6</v>
      </c>
      <c r="BO63">
        <v>3.4</v>
      </c>
      <c r="BP63">
        <v>4.0999999999999996</v>
      </c>
      <c r="BQ63">
        <v>10.5</v>
      </c>
      <c r="BR63">
        <v>10.1</v>
      </c>
      <c r="BS63">
        <v>0.8</v>
      </c>
      <c r="BT63">
        <v>2.6</v>
      </c>
      <c r="BU63">
        <v>0.4</v>
      </c>
      <c r="BV63">
        <v>2.4</v>
      </c>
      <c r="BW63">
        <v>5.4</v>
      </c>
      <c r="BX63">
        <v>3.9</v>
      </c>
      <c r="BY63" t="s">
        <v>499</v>
      </c>
    </row>
    <row r="64" spans="1:77" x14ac:dyDescent="0.35">
      <c r="A64" s="10">
        <v>2</v>
      </c>
      <c r="B64" s="23" t="s">
        <v>500</v>
      </c>
      <c r="C64" t="s">
        <v>501</v>
      </c>
      <c r="D64">
        <v>48</v>
      </c>
      <c r="E64" s="23" t="s">
        <v>453</v>
      </c>
      <c r="F64">
        <v>680156464</v>
      </c>
      <c r="G64" t="s">
        <v>455</v>
      </c>
      <c r="H64" t="s">
        <v>82</v>
      </c>
      <c r="I64" t="s">
        <v>183</v>
      </c>
      <c r="K64" t="s">
        <v>447</v>
      </c>
      <c r="L64" t="s">
        <v>265</v>
      </c>
      <c r="M64" s="23" t="s">
        <v>82</v>
      </c>
      <c r="O64" s="23">
        <v>90</v>
      </c>
      <c r="P64">
        <v>98</v>
      </c>
      <c r="Q64">
        <v>97</v>
      </c>
      <c r="R64">
        <v>12</v>
      </c>
      <c r="S64" s="2">
        <v>44539</v>
      </c>
      <c r="T64" s="2">
        <v>44554</v>
      </c>
      <c r="U64">
        <v>15</v>
      </c>
      <c r="W64">
        <v>4</v>
      </c>
      <c r="X64">
        <v>3</v>
      </c>
      <c r="Y64">
        <v>2</v>
      </c>
      <c r="Z64" t="s">
        <v>91</v>
      </c>
      <c r="AA64" t="s">
        <v>104</v>
      </c>
      <c r="AB64">
        <v>11</v>
      </c>
      <c r="AC64" t="s">
        <v>502</v>
      </c>
      <c r="AD64" s="28">
        <v>115</v>
      </c>
      <c r="AE64">
        <v>132</v>
      </c>
      <c r="AF64">
        <v>4.2</v>
      </c>
      <c r="AG64">
        <v>11.3</v>
      </c>
      <c r="AH64">
        <v>15</v>
      </c>
      <c r="AI64">
        <v>8</v>
      </c>
      <c r="AJ64">
        <v>45</v>
      </c>
      <c r="AK64">
        <v>70</v>
      </c>
      <c r="AL64">
        <v>35</v>
      </c>
      <c r="AM64">
        <v>14</v>
      </c>
      <c r="AN64">
        <v>41</v>
      </c>
      <c r="AO64">
        <v>15</v>
      </c>
      <c r="AP64">
        <v>12</v>
      </c>
      <c r="AQ64" s="23">
        <v>6</v>
      </c>
      <c r="AR64">
        <v>7.35</v>
      </c>
      <c r="AU64">
        <v>186</v>
      </c>
      <c r="AX64">
        <v>0.19</v>
      </c>
      <c r="AY64" s="28">
        <v>38</v>
      </c>
      <c r="AZ64">
        <v>36</v>
      </c>
      <c r="BA64">
        <v>9.9</v>
      </c>
      <c r="BB64">
        <v>11.7</v>
      </c>
      <c r="BC64" s="23">
        <v>3.93</v>
      </c>
      <c r="BD64">
        <v>2.08</v>
      </c>
      <c r="BE64">
        <v>0.97</v>
      </c>
      <c r="BF64">
        <v>1.1299999999999999</v>
      </c>
      <c r="BG64">
        <v>68</v>
      </c>
      <c r="BH64">
        <v>78.3</v>
      </c>
      <c r="BI64">
        <v>8</v>
      </c>
      <c r="BJ64">
        <v>6.5</v>
      </c>
      <c r="BK64">
        <v>115</v>
      </c>
      <c r="BL64">
        <v>90.2</v>
      </c>
      <c r="BM64">
        <v>13.6</v>
      </c>
      <c r="BN64">
        <v>17</v>
      </c>
      <c r="BO64">
        <v>5.0999999999999996</v>
      </c>
      <c r="BP64">
        <v>5.0999999999999996</v>
      </c>
      <c r="BQ64">
        <v>8.5</v>
      </c>
      <c r="BR64">
        <v>11.9</v>
      </c>
      <c r="BS64">
        <v>60.6</v>
      </c>
      <c r="BT64">
        <v>112.7</v>
      </c>
      <c r="BU64">
        <v>41</v>
      </c>
      <c r="BV64">
        <v>92.5</v>
      </c>
      <c r="BW64">
        <v>6.2</v>
      </c>
      <c r="BX64">
        <v>7</v>
      </c>
      <c r="BY64" t="s">
        <v>503</v>
      </c>
    </row>
    <row r="65" spans="1:77" x14ac:dyDescent="0.35">
      <c r="A65" s="10">
        <v>2</v>
      </c>
      <c r="B65" s="23" t="s">
        <v>504</v>
      </c>
      <c r="C65" t="s">
        <v>505</v>
      </c>
      <c r="D65">
        <v>62</v>
      </c>
      <c r="E65" s="23" t="s">
        <v>445</v>
      </c>
      <c r="F65">
        <v>501320598</v>
      </c>
      <c r="G65" t="s">
        <v>455</v>
      </c>
      <c r="H65" t="s">
        <v>82</v>
      </c>
      <c r="I65" t="s">
        <v>183</v>
      </c>
      <c r="K65" t="s">
        <v>506</v>
      </c>
      <c r="L65" s="4" t="s">
        <v>115</v>
      </c>
      <c r="M65" s="23" t="s">
        <v>507</v>
      </c>
      <c r="O65" s="23">
        <v>80</v>
      </c>
      <c r="P65">
        <v>94</v>
      </c>
      <c r="Q65" s="12" t="s">
        <v>508</v>
      </c>
      <c r="R65">
        <v>27</v>
      </c>
      <c r="S65" s="2">
        <v>44515</v>
      </c>
      <c r="T65" s="2">
        <v>44554</v>
      </c>
      <c r="U65">
        <v>39</v>
      </c>
      <c r="W65">
        <v>5</v>
      </c>
      <c r="X65">
        <v>6</v>
      </c>
      <c r="Y65">
        <v>4</v>
      </c>
      <c r="Z65" t="s">
        <v>119</v>
      </c>
      <c r="AA65" t="s">
        <v>104</v>
      </c>
      <c r="AB65">
        <v>39</v>
      </c>
      <c r="AC65" t="s">
        <v>509</v>
      </c>
      <c r="AD65" s="28">
        <v>146</v>
      </c>
      <c r="AE65">
        <v>124</v>
      </c>
      <c r="AF65">
        <v>12.9</v>
      </c>
      <c r="AG65">
        <v>8.4</v>
      </c>
      <c r="AH65">
        <v>8</v>
      </c>
      <c r="AI65">
        <v>13</v>
      </c>
      <c r="AJ65">
        <v>78</v>
      </c>
      <c r="AK65">
        <v>55</v>
      </c>
      <c r="AL65">
        <v>12</v>
      </c>
      <c r="AM65">
        <v>17</v>
      </c>
      <c r="AN65">
        <v>30</v>
      </c>
      <c r="AO65">
        <v>14</v>
      </c>
      <c r="AP65">
        <v>11.8</v>
      </c>
      <c r="AQ65" s="23">
        <v>4.5999999999999996</v>
      </c>
      <c r="AU65">
        <v>1727</v>
      </c>
      <c r="AV65">
        <v>536</v>
      </c>
      <c r="AX65">
        <v>0.44</v>
      </c>
      <c r="AY65" s="28">
        <v>33</v>
      </c>
      <c r="AZ65">
        <v>40</v>
      </c>
      <c r="BA65">
        <v>12.3</v>
      </c>
      <c r="BB65">
        <v>13</v>
      </c>
      <c r="BC65" s="23">
        <v>7</v>
      </c>
      <c r="BD65">
        <v>2.2400000000000002</v>
      </c>
      <c r="BE65">
        <v>1.1599999999999999</v>
      </c>
      <c r="BF65">
        <v>1.24</v>
      </c>
      <c r="BG65">
        <v>50</v>
      </c>
      <c r="BH65">
        <v>72.900000000000006</v>
      </c>
      <c r="BI65">
        <v>7.3</v>
      </c>
      <c r="BJ65">
        <v>8.6</v>
      </c>
      <c r="BK65">
        <v>100</v>
      </c>
      <c r="BL65">
        <v>113.9</v>
      </c>
      <c r="BM65">
        <v>11.9</v>
      </c>
      <c r="BN65">
        <v>11.9</v>
      </c>
      <c r="BO65">
        <v>3.4</v>
      </c>
      <c r="BP65">
        <v>3.4</v>
      </c>
      <c r="BQ65">
        <v>10.199999999999999</v>
      </c>
      <c r="BR65">
        <v>8.5</v>
      </c>
      <c r="BS65">
        <v>30.3</v>
      </c>
      <c r="BT65">
        <v>129</v>
      </c>
      <c r="BU65">
        <v>20.5</v>
      </c>
      <c r="BV65">
        <v>77.099999999999994</v>
      </c>
      <c r="BW65">
        <v>6.4</v>
      </c>
      <c r="BX65">
        <v>4.5999999999999996</v>
      </c>
      <c r="BY65" t="s">
        <v>510</v>
      </c>
    </row>
    <row r="66" spans="1:77" x14ac:dyDescent="0.35">
      <c r="A66" s="10">
        <v>2</v>
      </c>
      <c r="B66" s="23" t="s">
        <v>511</v>
      </c>
      <c r="C66" t="s">
        <v>512</v>
      </c>
      <c r="D66">
        <v>51</v>
      </c>
      <c r="E66" s="23" t="s">
        <v>445</v>
      </c>
      <c r="F66">
        <v>969042163</v>
      </c>
      <c r="G66" t="s">
        <v>446</v>
      </c>
      <c r="H66" t="s">
        <v>163</v>
      </c>
      <c r="I66" t="s">
        <v>164</v>
      </c>
      <c r="K66" t="s">
        <v>513</v>
      </c>
      <c r="L66" s="4" t="s">
        <v>285</v>
      </c>
      <c r="M66" s="23" t="s">
        <v>101</v>
      </c>
      <c r="O66" s="13">
        <v>0.9</v>
      </c>
      <c r="P66">
        <v>95</v>
      </c>
      <c r="R66">
        <v>10</v>
      </c>
      <c r="S66" s="2">
        <v>44517</v>
      </c>
      <c r="T66" s="2">
        <v>44546</v>
      </c>
      <c r="U66">
        <v>29</v>
      </c>
      <c r="W66">
        <v>3</v>
      </c>
      <c r="X66">
        <v>3</v>
      </c>
      <c r="Z66" t="s">
        <v>119</v>
      </c>
      <c r="AA66" t="s">
        <v>104</v>
      </c>
      <c r="AB66" s="12" t="s">
        <v>514</v>
      </c>
      <c r="AC66" t="s">
        <v>515</v>
      </c>
      <c r="AD66" s="28">
        <v>156</v>
      </c>
      <c r="AE66">
        <v>146</v>
      </c>
      <c r="AF66">
        <v>11.7</v>
      </c>
      <c r="AG66">
        <v>8.6</v>
      </c>
      <c r="AH66">
        <v>9</v>
      </c>
      <c r="AI66">
        <v>8</v>
      </c>
      <c r="AJ66">
        <v>86</v>
      </c>
      <c r="AK66">
        <v>68</v>
      </c>
      <c r="AL66">
        <v>4</v>
      </c>
      <c r="AM66">
        <v>19</v>
      </c>
      <c r="AN66">
        <v>2</v>
      </c>
      <c r="AO66">
        <v>3</v>
      </c>
      <c r="AP66">
        <v>6</v>
      </c>
      <c r="AQ66" s="23">
        <v>6</v>
      </c>
      <c r="AU66">
        <v>146</v>
      </c>
      <c r="AY66" s="28">
        <v>50</v>
      </c>
      <c r="AZ66">
        <v>47</v>
      </c>
      <c r="BA66">
        <v>16.3</v>
      </c>
      <c r="BB66">
        <v>10.4</v>
      </c>
      <c r="BC66" s="23">
        <v>2.2000000000000002</v>
      </c>
      <c r="BD66">
        <v>2.7</v>
      </c>
      <c r="BE66">
        <v>1.49</v>
      </c>
      <c r="BF66">
        <v>1.01</v>
      </c>
      <c r="BG66">
        <v>60</v>
      </c>
      <c r="BH66">
        <v>58</v>
      </c>
      <c r="BI66">
        <v>4.8</v>
      </c>
      <c r="BJ66">
        <v>7.1</v>
      </c>
      <c r="BK66">
        <v>75</v>
      </c>
      <c r="BL66">
        <v>106.6</v>
      </c>
      <c r="BM66">
        <v>17</v>
      </c>
      <c r="BN66">
        <v>17</v>
      </c>
      <c r="BO66">
        <v>5.0999999999999996</v>
      </c>
      <c r="BP66">
        <v>5.0999999999999996</v>
      </c>
      <c r="BQ66">
        <v>11.9</v>
      </c>
      <c r="BR66">
        <v>11.9</v>
      </c>
      <c r="BS66">
        <v>38</v>
      </c>
      <c r="BT66">
        <v>52.1</v>
      </c>
      <c r="BU66">
        <v>19.7</v>
      </c>
      <c r="BV66">
        <v>25</v>
      </c>
      <c r="BW66">
        <v>4.5999999999999996</v>
      </c>
      <c r="BX66">
        <v>6.9</v>
      </c>
      <c r="BY66" t="s">
        <v>516</v>
      </c>
    </row>
    <row r="67" spans="1:77" x14ac:dyDescent="0.35">
      <c r="A67" s="10">
        <v>2</v>
      </c>
      <c r="B67" s="23" t="s">
        <v>517</v>
      </c>
      <c r="C67" t="s">
        <v>518</v>
      </c>
      <c r="D67">
        <v>40</v>
      </c>
      <c r="E67" s="23" t="s">
        <v>445</v>
      </c>
      <c r="F67">
        <v>681960278</v>
      </c>
      <c r="G67" t="s">
        <v>455</v>
      </c>
      <c r="H67" t="s">
        <v>82</v>
      </c>
      <c r="I67" t="s">
        <v>98</v>
      </c>
      <c r="K67" t="s">
        <v>519</v>
      </c>
      <c r="L67" s="4" t="s">
        <v>520</v>
      </c>
      <c r="M67" s="23" t="s">
        <v>82</v>
      </c>
      <c r="O67" s="23">
        <v>87</v>
      </c>
      <c r="P67">
        <v>94</v>
      </c>
      <c r="Q67">
        <v>98</v>
      </c>
      <c r="R67">
        <v>7</v>
      </c>
      <c r="S67" s="2">
        <v>44335</v>
      </c>
      <c r="T67" s="2">
        <v>44356</v>
      </c>
      <c r="U67">
        <v>21</v>
      </c>
      <c r="W67">
        <v>4</v>
      </c>
      <c r="X67">
        <v>4</v>
      </c>
      <c r="Y67">
        <v>2</v>
      </c>
      <c r="Z67" t="s">
        <v>136</v>
      </c>
      <c r="AA67" t="s">
        <v>104</v>
      </c>
      <c r="AB67">
        <v>11</v>
      </c>
      <c r="AC67" t="s">
        <v>521</v>
      </c>
      <c r="AD67" s="28">
        <v>157</v>
      </c>
      <c r="AE67">
        <v>147</v>
      </c>
      <c r="AF67">
        <v>6.1</v>
      </c>
      <c r="AG67">
        <v>6.6</v>
      </c>
      <c r="AH67">
        <v>30</v>
      </c>
      <c r="AI67">
        <v>15</v>
      </c>
      <c r="AJ67">
        <v>39</v>
      </c>
      <c r="AK67">
        <v>42</v>
      </c>
      <c r="AL67">
        <v>30</v>
      </c>
      <c r="AM67">
        <v>40</v>
      </c>
      <c r="AN67">
        <v>20</v>
      </c>
      <c r="AO67">
        <v>2</v>
      </c>
      <c r="AP67">
        <v>35</v>
      </c>
      <c r="AQ67" s="23">
        <v>7</v>
      </c>
      <c r="AY67" s="28">
        <v>42</v>
      </c>
      <c r="AZ67">
        <v>40</v>
      </c>
      <c r="BA67">
        <v>26</v>
      </c>
      <c r="BB67">
        <v>22</v>
      </c>
      <c r="BC67" s="23">
        <v>4</v>
      </c>
      <c r="BD67">
        <v>4.21</v>
      </c>
      <c r="BG67">
        <v>64</v>
      </c>
      <c r="BH67">
        <v>70</v>
      </c>
      <c r="BI67">
        <v>8.1</v>
      </c>
      <c r="BJ67">
        <v>6.9</v>
      </c>
      <c r="BK67">
        <v>153</v>
      </c>
      <c r="BL67">
        <v>117</v>
      </c>
      <c r="BM67">
        <v>11.9</v>
      </c>
      <c r="BN67">
        <v>18.7</v>
      </c>
      <c r="BO67">
        <v>2.7</v>
      </c>
      <c r="BP67">
        <v>8.5</v>
      </c>
      <c r="BQ67">
        <v>9.5</v>
      </c>
      <c r="BR67">
        <v>10.199999999999999</v>
      </c>
      <c r="BS67">
        <v>1</v>
      </c>
      <c r="BT67">
        <v>1.4</v>
      </c>
      <c r="BU67">
        <v>0.8</v>
      </c>
      <c r="BV67">
        <v>1</v>
      </c>
      <c r="BW67">
        <v>4.5</v>
      </c>
      <c r="BX67">
        <v>4.7</v>
      </c>
    </row>
    <row r="68" spans="1:77" x14ac:dyDescent="0.35">
      <c r="A68" s="10">
        <v>2</v>
      </c>
      <c r="B68" s="23" t="s">
        <v>522</v>
      </c>
      <c r="C68" t="s">
        <v>523</v>
      </c>
      <c r="D68">
        <v>67</v>
      </c>
      <c r="E68" s="23" t="s">
        <v>453</v>
      </c>
      <c r="F68" t="s">
        <v>524</v>
      </c>
      <c r="G68" t="s">
        <v>455</v>
      </c>
      <c r="H68" t="s">
        <v>82</v>
      </c>
      <c r="I68" t="s">
        <v>98</v>
      </c>
      <c r="K68" t="s">
        <v>525</v>
      </c>
      <c r="L68" s="4" t="s">
        <v>526</v>
      </c>
      <c r="M68" s="23" t="s">
        <v>101</v>
      </c>
      <c r="O68" s="23">
        <v>80</v>
      </c>
      <c r="P68">
        <v>90</v>
      </c>
      <c r="Q68">
        <v>94</v>
      </c>
      <c r="R68">
        <v>21</v>
      </c>
      <c r="S68" s="2">
        <v>44359</v>
      </c>
      <c r="T68" s="14">
        <v>44407</v>
      </c>
      <c r="U68">
        <v>48</v>
      </c>
      <c r="W68">
        <v>3</v>
      </c>
      <c r="X68">
        <v>7</v>
      </c>
      <c r="Y68">
        <v>2</v>
      </c>
      <c r="Z68" t="s">
        <v>119</v>
      </c>
      <c r="AA68" t="s">
        <v>136</v>
      </c>
      <c r="AB68">
        <v>48</v>
      </c>
      <c r="AC68" t="s">
        <v>527</v>
      </c>
      <c r="AD68" s="28">
        <v>109</v>
      </c>
      <c r="AE68">
        <v>134</v>
      </c>
      <c r="AF68">
        <v>7.4</v>
      </c>
      <c r="AG68">
        <v>7.5</v>
      </c>
      <c r="AH68">
        <v>54</v>
      </c>
      <c r="AI68">
        <v>20</v>
      </c>
      <c r="AJ68">
        <v>28</v>
      </c>
      <c r="AK68">
        <v>40</v>
      </c>
      <c r="AL68">
        <v>14</v>
      </c>
      <c r="AM68">
        <v>34</v>
      </c>
      <c r="AN68">
        <v>29</v>
      </c>
      <c r="AO68">
        <v>4</v>
      </c>
      <c r="AP68">
        <v>25</v>
      </c>
      <c r="AQ68" s="23">
        <v>9</v>
      </c>
      <c r="AX68">
        <v>0.28000000000000003</v>
      </c>
      <c r="AY68" s="28">
        <v>33</v>
      </c>
      <c r="AZ68">
        <v>40</v>
      </c>
      <c r="BA68">
        <v>11.2</v>
      </c>
      <c r="BB68">
        <v>19</v>
      </c>
      <c r="BC68" s="23">
        <v>4</v>
      </c>
      <c r="BD68">
        <v>4.88</v>
      </c>
      <c r="BG68">
        <v>58</v>
      </c>
      <c r="BH68">
        <v>56</v>
      </c>
      <c r="BI68">
        <v>6.9</v>
      </c>
      <c r="BJ68">
        <v>3.9</v>
      </c>
      <c r="BK68">
        <v>102</v>
      </c>
      <c r="BL68">
        <v>67</v>
      </c>
      <c r="BM68">
        <v>18.7</v>
      </c>
      <c r="BN68">
        <v>13.6</v>
      </c>
      <c r="BO68">
        <v>8.5</v>
      </c>
      <c r="BP68">
        <v>3.4</v>
      </c>
      <c r="BQ68">
        <v>10.3</v>
      </c>
      <c r="BR68">
        <v>10.199999999999999</v>
      </c>
      <c r="BS68">
        <v>1.4</v>
      </c>
      <c r="BT68">
        <v>1</v>
      </c>
      <c r="BU68">
        <v>1</v>
      </c>
      <c r="BV68">
        <v>0.8</v>
      </c>
      <c r="BW68">
        <v>4</v>
      </c>
      <c r="BX68">
        <v>4.7</v>
      </c>
      <c r="BY68" t="s">
        <v>528</v>
      </c>
    </row>
    <row r="69" spans="1:77" x14ac:dyDescent="0.35">
      <c r="A69" s="10">
        <v>2</v>
      </c>
      <c r="B69" s="23" t="s">
        <v>529</v>
      </c>
      <c r="C69" t="s">
        <v>530</v>
      </c>
      <c r="D69">
        <v>41</v>
      </c>
      <c r="E69" s="23" t="s">
        <v>453</v>
      </c>
      <c r="F69">
        <v>992041263</v>
      </c>
      <c r="G69" t="s">
        <v>464</v>
      </c>
      <c r="H69" t="s">
        <v>82</v>
      </c>
      <c r="I69" t="s">
        <v>199</v>
      </c>
      <c r="L69" s="4" t="s">
        <v>531</v>
      </c>
      <c r="M69" s="23" t="s">
        <v>532</v>
      </c>
      <c r="O69" s="23">
        <v>90</v>
      </c>
      <c r="P69">
        <v>97</v>
      </c>
      <c r="Q69">
        <v>98</v>
      </c>
      <c r="R69">
        <v>9</v>
      </c>
      <c r="S69" s="2">
        <v>44388</v>
      </c>
      <c r="T69" s="2">
        <v>44398</v>
      </c>
      <c r="U69">
        <v>10</v>
      </c>
      <c r="W69">
        <v>4</v>
      </c>
      <c r="X69">
        <v>2</v>
      </c>
      <c r="Y69">
        <v>3</v>
      </c>
      <c r="Z69" t="s">
        <v>104</v>
      </c>
      <c r="AA69" t="s">
        <v>104</v>
      </c>
      <c r="AB69">
        <v>7</v>
      </c>
      <c r="AC69" t="s">
        <v>470</v>
      </c>
      <c r="AD69" s="28">
        <v>144</v>
      </c>
      <c r="AE69">
        <v>134</v>
      </c>
      <c r="AF69">
        <v>4</v>
      </c>
      <c r="AG69">
        <v>6.8</v>
      </c>
      <c r="AH69">
        <v>17</v>
      </c>
      <c r="AI69">
        <v>10</v>
      </c>
      <c r="AJ69">
        <v>58</v>
      </c>
      <c r="AK69">
        <v>61</v>
      </c>
      <c r="AL69">
        <v>20</v>
      </c>
      <c r="AM69">
        <v>25</v>
      </c>
      <c r="AN69">
        <v>29</v>
      </c>
      <c r="AO69">
        <v>14</v>
      </c>
      <c r="AP69">
        <v>20</v>
      </c>
      <c r="AQ69" s="23">
        <v>7</v>
      </c>
      <c r="AY69" s="28">
        <v>42</v>
      </c>
      <c r="AZ69">
        <v>40</v>
      </c>
      <c r="BA69">
        <v>21</v>
      </c>
      <c r="BB69">
        <v>20</v>
      </c>
      <c r="BC69" s="23">
        <v>4.21</v>
      </c>
      <c r="BD69">
        <v>6.66</v>
      </c>
      <c r="BG69">
        <v>70</v>
      </c>
      <c r="BH69">
        <v>54</v>
      </c>
      <c r="BI69">
        <v>5.2</v>
      </c>
      <c r="BJ69">
        <v>5.9</v>
      </c>
      <c r="BK69">
        <v>83</v>
      </c>
      <c r="BL69">
        <v>70</v>
      </c>
      <c r="BM69">
        <v>20.399999999999999</v>
      </c>
      <c r="BN69">
        <v>18.7</v>
      </c>
      <c r="BO69">
        <v>5</v>
      </c>
      <c r="BP69">
        <v>6.8</v>
      </c>
      <c r="BQ69">
        <v>15.3</v>
      </c>
      <c r="BR69">
        <v>11.9</v>
      </c>
      <c r="BS69">
        <v>1.4</v>
      </c>
      <c r="BT69">
        <v>2.7</v>
      </c>
      <c r="BU69">
        <v>1</v>
      </c>
      <c r="BV69">
        <v>2.6</v>
      </c>
      <c r="BW69">
        <v>4.8</v>
      </c>
      <c r="BX69">
        <v>4.0999999999999996</v>
      </c>
    </row>
    <row r="70" spans="1:77" x14ac:dyDescent="0.35">
      <c r="A70" s="10">
        <v>2</v>
      </c>
      <c r="B70" s="23" t="s">
        <v>533</v>
      </c>
      <c r="C70" t="s">
        <v>534</v>
      </c>
      <c r="D70">
        <v>56</v>
      </c>
      <c r="E70" s="23" t="s">
        <v>453</v>
      </c>
      <c r="F70">
        <v>675240137</v>
      </c>
      <c r="G70" t="s">
        <v>446</v>
      </c>
      <c r="H70" t="s">
        <v>163</v>
      </c>
      <c r="I70" t="s">
        <v>164</v>
      </c>
      <c r="K70" t="s">
        <v>535</v>
      </c>
      <c r="O70" s="23">
        <v>89</v>
      </c>
      <c r="P70">
        <v>96</v>
      </c>
      <c r="Q70">
        <v>97</v>
      </c>
      <c r="R70">
        <v>7</v>
      </c>
      <c r="S70" s="2">
        <v>44386</v>
      </c>
      <c r="T70" s="2">
        <v>44405</v>
      </c>
      <c r="U70">
        <v>20</v>
      </c>
      <c r="W70">
        <v>3</v>
      </c>
      <c r="X70">
        <v>3</v>
      </c>
      <c r="Y70">
        <v>1</v>
      </c>
      <c r="Z70" t="s">
        <v>119</v>
      </c>
      <c r="AA70" t="s">
        <v>104</v>
      </c>
      <c r="AB70">
        <v>12</v>
      </c>
      <c r="AC70" t="s">
        <v>470</v>
      </c>
      <c r="AD70" s="28">
        <v>149</v>
      </c>
      <c r="AE70">
        <v>127</v>
      </c>
      <c r="AF70">
        <v>13.9</v>
      </c>
      <c r="AG70">
        <v>10.8</v>
      </c>
      <c r="AH70">
        <v>21</v>
      </c>
      <c r="AI70">
        <v>25</v>
      </c>
      <c r="AJ70">
        <v>72</v>
      </c>
      <c r="AK70">
        <v>55</v>
      </c>
      <c r="AL70">
        <v>6</v>
      </c>
      <c r="AM70">
        <v>17</v>
      </c>
      <c r="AN70">
        <v>45</v>
      </c>
      <c r="AO70">
        <v>30</v>
      </c>
      <c r="AP70">
        <v>25</v>
      </c>
      <c r="AQ70" s="23">
        <v>28</v>
      </c>
      <c r="AX70">
        <v>0.17</v>
      </c>
      <c r="AY70" s="28">
        <v>40</v>
      </c>
      <c r="AZ70">
        <v>40</v>
      </c>
      <c r="BA70">
        <v>14</v>
      </c>
      <c r="BB70">
        <v>15</v>
      </c>
      <c r="BC70" s="23">
        <v>4</v>
      </c>
      <c r="BD70">
        <v>4.21</v>
      </c>
      <c r="BG70">
        <v>72</v>
      </c>
      <c r="BH70">
        <v>60</v>
      </c>
      <c r="BI70">
        <v>6.5</v>
      </c>
      <c r="BJ70">
        <v>7.7</v>
      </c>
      <c r="BK70">
        <v>119</v>
      </c>
      <c r="BL70">
        <v>118</v>
      </c>
      <c r="BM70">
        <v>11.9</v>
      </c>
      <c r="BN70">
        <v>23.8</v>
      </c>
      <c r="BO70">
        <v>2.4</v>
      </c>
      <c r="BP70">
        <v>6.8</v>
      </c>
      <c r="BQ70">
        <v>9.5</v>
      </c>
      <c r="BR70">
        <v>17</v>
      </c>
      <c r="BS70">
        <v>1.6</v>
      </c>
      <c r="BT70">
        <v>2.2000000000000002</v>
      </c>
      <c r="BU70">
        <v>1.2</v>
      </c>
      <c r="BV70">
        <v>1.4</v>
      </c>
      <c r="BW70">
        <v>7.2</v>
      </c>
      <c r="BX70">
        <v>7</v>
      </c>
    </row>
    <row r="71" spans="1:77" x14ac:dyDescent="0.35">
      <c r="A71" s="10">
        <v>2</v>
      </c>
      <c r="B71" s="23" t="s">
        <v>536</v>
      </c>
      <c r="C71" t="s">
        <v>537</v>
      </c>
      <c r="D71">
        <v>59</v>
      </c>
      <c r="E71" s="23" t="s">
        <v>453</v>
      </c>
      <c r="F71">
        <v>680591483</v>
      </c>
      <c r="G71" t="s">
        <v>446</v>
      </c>
      <c r="H71" t="s">
        <v>163</v>
      </c>
      <c r="I71" t="s">
        <v>113</v>
      </c>
      <c r="K71" t="s">
        <v>538</v>
      </c>
      <c r="O71" s="23">
        <v>90</v>
      </c>
      <c r="P71">
        <v>98</v>
      </c>
      <c r="Q71">
        <v>96</v>
      </c>
      <c r="R71">
        <v>8</v>
      </c>
      <c r="S71" s="2">
        <v>44337</v>
      </c>
      <c r="T71" s="2">
        <v>44356</v>
      </c>
      <c r="U71">
        <v>19</v>
      </c>
      <c r="W71">
        <v>2</v>
      </c>
      <c r="X71">
        <v>2</v>
      </c>
      <c r="Z71" t="s">
        <v>91</v>
      </c>
      <c r="AA71" t="s">
        <v>136</v>
      </c>
      <c r="AB71">
        <v>5</v>
      </c>
      <c r="AC71" t="s">
        <v>483</v>
      </c>
      <c r="AD71" s="28">
        <v>137</v>
      </c>
      <c r="AE71">
        <v>136</v>
      </c>
      <c r="AF71">
        <v>6.7</v>
      </c>
      <c r="AG71">
        <v>6.3</v>
      </c>
      <c r="AH71">
        <v>8</v>
      </c>
      <c r="AI71">
        <v>10</v>
      </c>
      <c r="AJ71">
        <v>54</v>
      </c>
      <c r="AK71">
        <v>64</v>
      </c>
      <c r="AL71">
        <v>34</v>
      </c>
      <c r="AM71">
        <v>18</v>
      </c>
      <c r="AN71">
        <v>23</v>
      </c>
      <c r="AO71">
        <v>4</v>
      </c>
      <c r="AP71">
        <v>38</v>
      </c>
      <c r="AQ71" s="23">
        <v>30</v>
      </c>
      <c r="AY71" s="28">
        <v>42</v>
      </c>
      <c r="AZ71">
        <v>42</v>
      </c>
      <c r="BA71">
        <v>18</v>
      </c>
      <c r="BB71">
        <v>16</v>
      </c>
      <c r="BC71" s="23">
        <v>4.21</v>
      </c>
      <c r="BD71">
        <v>3.55</v>
      </c>
      <c r="BG71">
        <v>62</v>
      </c>
      <c r="BH71">
        <v>64</v>
      </c>
      <c r="BI71">
        <v>6.9</v>
      </c>
      <c r="BJ71">
        <v>6.2</v>
      </c>
      <c r="BK71">
        <v>129</v>
      </c>
      <c r="BL71">
        <v>106</v>
      </c>
      <c r="BM71">
        <v>13.6</v>
      </c>
      <c r="BN71">
        <v>18.7</v>
      </c>
      <c r="BO71">
        <v>3.4</v>
      </c>
      <c r="BP71">
        <v>8.5</v>
      </c>
      <c r="BQ71">
        <v>10</v>
      </c>
      <c r="BR71">
        <v>10.199999999999999</v>
      </c>
      <c r="BS71">
        <v>1.1000000000000001</v>
      </c>
      <c r="BT71">
        <v>1.2</v>
      </c>
      <c r="BU71">
        <v>0.8</v>
      </c>
      <c r="BV71">
        <v>0.7</v>
      </c>
      <c r="BW71">
        <v>4.8</v>
      </c>
      <c r="BX71">
        <v>5.2</v>
      </c>
      <c r="BY71" t="s">
        <v>539</v>
      </c>
    </row>
    <row r="72" spans="1:77" x14ac:dyDescent="0.35">
      <c r="A72" s="10">
        <v>2</v>
      </c>
      <c r="B72" s="23">
        <v>1444</v>
      </c>
      <c r="C72" t="s">
        <v>540</v>
      </c>
      <c r="D72">
        <v>65</v>
      </c>
      <c r="E72" s="23" t="s">
        <v>453</v>
      </c>
      <c r="F72">
        <v>968181378</v>
      </c>
      <c r="G72" t="s">
        <v>455</v>
      </c>
      <c r="H72" t="s">
        <v>82</v>
      </c>
      <c r="I72" t="s">
        <v>113</v>
      </c>
      <c r="K72" t="s">
        <v>506</v>
      </c>
      <c r="O72" s="23">
        <v>88</v>
      </c>
      <c r="P72">
        <v>96</v>
      </c>
      <c r="Q72">
        <v>94</v>
      </c>
      <c r="R72">
        <v>10</v>
      </c>
      <c r="S72" s="2">
        <v>44635</v>
      </c>
      <c r="T72" s="2">
        <v>44653</v>
      </c>
      <c r="U72">
        <v>18</v>
      </c>
      <c r="W72">
        <v>3</v>
      </c>
      <c r="X72">
        <v>2</v>
      </c>
      <c r="Z72" t="s">
        <v>119</v>
      </c>
      <c r="AA72" t="s">
        <v>104</v>
      </c>
      <c r="AB72">
        <v>10</v>
      </c>
      <c r="AC72" t="s">
        <v>541</v>
      </c>
      <c r="AD72" s="28">
        <v>118</v>
      </c>
      <c r="AE72">
        <v>120</v>
      </c>
      <c r="AF72">
        <v>9</v>
      </c>
      <c r="AG72">
        <v>8</v>
      </c>
      <c r="AH72">
        <v>15</v>
      </c>
      <c r="AI72">
        <v>18</v>
      </c>
      <c r="AJ72">
        <v>62</v>
      </c>
      <c r="AK72">
        <v>49</v>
      </c>
      <c r="AL72">
        <v>18</v>
      </c>
      <c r="AM72">
        <v>24</v>
      </c>
      <c r="AN72">
        <v>55</v>
      </c>
      <c r="AO72">
        <v>40</v>
      </c>
      <c r="AP72">
        <v>12</v>
      </c>
      <c r="AQ72" s="23">
        <v>8</v>
      </c>
      <c r="AY72" s="28">
        <v>38</v>
      </c>
      <c r="AZ72">
        <v>37.6</v>
      </c>
      <c r="BA72">
        <v>11.5</v>
      </c>
      <c r="BB72">
        <v>9.1</v>
      </c>
      <c r="BC72" s="23">
        <v>3.94</v>
      </c>
      <c r="BD72">
        <v>6.16</v>
      </c>
      <c r="BE72">
        <v>1.1200000000000001</v>
      </c>
      <c r="BF72">
        <v>0.92</v>
      </c>
      <c r="BG72">
        <v>88</v>
      </c>
      <c r="BH72">
        <v>73</v>
      </c>
      <c r="BI72">
        <v>6.4</v>
      </c>
      <c r="BJ72">
        <v>6.7</v>
      </c>
      <c r="BK72">
        <v>78</v>
      </c>
      <c r="BL72">
        <v>94</v>
      </c>
      <c r="BM72">
        <v>15.3</v>
      </c>
      <c r="BN72">
        <v>17.100000000000001</v>
      </c>
      <c r="BO72">
        <v>5.0999999999999996</v>
      </c>
      <c r="BP72">
        <v>5.2</v>
      </c>
      <c r="BQ72">
        <v>10.199999999999999</v>
      </c>
      <c r="BR72">
        <v>11.9</v>
      </c>
      <c r="BS72">
        <v>37.4</v>
      </c>
      <c r="BT72">
        <v>75.400000000000006</v>
      </c>
      <c r="BU72">
        <v>30.2</v>
      </c>
      <c r="BV72">
        <v>36.200000000000003</v>
      </c>
      <c r="BW72">
        <v>22.3</v>
      </c>
      <c r="BX72">
        <v>10.8</v>
      </c>
    </row>
    <row r="73" spans="1:77" x14ac:dyDescent="0.35">
      <c r="A73" s="10">
        <v>2</v>
      </c>
      <c r="B73" s="23">
        <v>2572</v>
      </c>
      <c r="C73" t="s">
        <v>542</v>
      </c>
      <c r="D73">
        <v>65</v>
      </c>
      <c r="E73" s="23" t="s">
        <v>445</v>
      </c>
      <c r="F73" t="s">
        <v>543</v>
      </c>
      <c r="G73" t="s">
        <v>455</v>
      </c>
      <c r="H73" t="s">
        <v>82</v>
      </c>
      <c r="I73" t="s">
        <v>113</v>
      </c>
      <c r="K73" t="s">
        <v>447</v>
      </c>
      <c r="O73" s="23">
        <v>60</v>
      </c>
      <c r="P73">
        <v>97</v>
      </c>
      <c r="Q73">
        <v>93</v>
      </c>
      <c r="R73">
        <v>5</v>
      </c>
      <c r="S73" s="2">
        <v>44621</v>
      </c>
      <c r="T73" s="2">
        <v>44657</v>
      </c>
      <c r="U73">
        <v>36</v>
      </c>
      <c r="W73">
        <v>3</v>
      </c>
      <c r="X73">
        <v>5</v>
      </c>
      <c r="Y73">
        <v>2</v>
      </c>
      <c r="Z73" t="s">
        <v>104</v>
      </c>
      <c r="AA73" t="s">
        <v>104</v>
      </c>
      <c r="AB73">
        <v>33</v>
      </c>
      <c r="AC73" t="s">
        <v>541</v>
      </c>
      <c r="AD73" s="28">
        <v>143</v>
      </c>
      <c r="AE73">
        <v>107</v>
      </c>
      <c r="AF73">
        <v>16.5</v>
      </c>
      <c r="AG73">
        <v>21.7</v>
      </c>
      <c r="AH73">
        <v>18</v>
      </c>
      <c r="AI73">
        <v>17</v>
      </c>
      <c r="AJ73">
        <v>74</v>
      </c>
      <c r="AK73">
        <v>68</v>
      </c>
      <c r="AL73">
        <v>6</v>
      </c>
      <c r="AM73">
        <v>9</v>
      </c>
      <c r="AN73">
        <v>61</v>
      </c>
      <c r="AO73">
        <v>34</v>
      </c>
      <c r="AP73">
        <v>21</v>
      </c>
      <c r="AQ73" s="23">
        <v>18</v>
      </c>
      <c r="AY73" s="28">
        <v>50</v>
      </c>
      <c r="AZ73">
        <v>40</v>
      </c>
      <c r="BA73">
        <v>9.9</v>
      </c>
      <c r="BB73">
        <v>10.4</v>
      </c>
      <c r="BC73" s="23">
        <v>7.06</v>
      </c>
      <c r="BD73">
        <v>8.8699999999999992</v>
      </c>
      <c r="BE73">
        <v>0.97</v>
      </c>
      <c r="BF73">
        <v>1.02</v>
      </c>
      <c r="BG73">
        <v>76</v>
      </c>
      <c r="BH73">
        <v>54</v>
      </c>
      <c r="BI73">
        <v>6.4</v>
      </c>
      <c r="BJ73">
        <v>6.2</v>
      </c>
      <c r="BK73">
        <v>91</v>
      </c>
      <c r="BL73">
        <v>90</v>
      </c>
      <c r="BM73">
        <v>13.6</v>
      </c>
      <c r="BN73">
        <v>18.7</v>
      </c>
      <c r="BO73">
        <v>3.4</v>
      </c>
      <c r="BP73">
        <v>6.8</v>
      </c>
      <c r="BQ73">
        <v>10.199999999999999</v>
      </c>
      <c r="BR73">
        <v>11.8</v>
      </c>
      <c r="BS73">
        <v>52.4</v>
      </c>
      <c r="BT73">
        <v>52.1</v>
      </c>
      <c r="BU73">
        <v>60.4</v>
      </c>
      <c r="BV73">
        <v>32.1</v>
      </c>
      <c r="BW73">
        <v>6.8</v>
      </c>
      <c r="BX73">
        <v>4.4000000000000004</v>
      </c>
    </row>
    <row r="74" spans="1:77" x14ac:dyDescent="0.35">
      <c r="A74" s="10">
        <v>2</v>
      </c>
      <c r="B74" s="23">
        <v>314</v>
      </c>
      <c r="C74" t="s">
        <v>544</v>
      </c>
      <c r="D74">
        <v>67</v>
      </c>
      <c r="E74" s="23" t="s">
        <v>453</v>
      </c>
      <c r="F74" t="s">
        <v>545</v>
      </c>
      <c r="G74" t="s">
        <v>455</v>
      </c>
      <c r="H74" t="s">
        <v>82</v>
      </c>
      <c r="I74" t="s">
        <v>113</v>
      </c>
      <c r="K74" t="s">
        <v>447</v>
      </c>
      <c r="O74" s="23">
        <v>80</v>
      </c>
      <c r="P74">
        <v>93</v>
      </c>
      <c r="Q74">
        <v>93</v>
      </c>
      <c r="R74">
        <v>10</v>
      </c>
      <c r="S74" s="2">
        <v>44648</v>
      </c>
      <c r="T74" s="2">
        <v>44667</v>
      </c>
      <c r="U74">
        <v>19</v>
      </c>
      <c r="W74">
        <v>4</v>
      </c>
      <c r="X74">
        <v>2</v>
      </c>
      <c r="Z74" t="s">
        <v>91</v>
      </c>
      <c r="AA74" t="s">
        <v>546</v>
      </c>
      <c r="AB74">
        <v>11</v>
      </c>
      <c r="AC74" t="s">
        <v>547</v>
      </c>
      <c r="AD74" s="28">
        <v>106</v>
      </c>
      <c r="AE74">
        <v>113</v>
      </c>
      <c r="AF74">
        <v>2.2999999999999998</v>
      </c>
      <c r="AG74">
        <v>6.3</v>
      </c>
      <c r="AH74">
        <v>11</v>
      </c>
      <c r="AI74">
        <v>11</v>
      </c>
      <c r="AJ74">
        <v>72</v>
      </c>
      <c r="AK74">
        <v>61</v>
      </c>
      <c r="AL74">
        <v>12</v>
      </c>
      <c r="AM74">
        <v>16</v>
      </c>
      <c r="AN74">
        <v>16</v>
      </c>
      <c r="AO74">
        <v>9</v>
      </c>
      <c r="AP74">
        <v>12</v>
      </c>
      <c r="AQ74" s="23">
        <v>8</v>
      </c>
      <c r="AU74">
        <v>402</v>
      </c>
      <c r="AX74">
        <v>0.1</v>
      </c>
      <c r="AY74" s="28">
        <v>33</v>
      </c>
      <c r="AZ74">
        <v>35</v>
      </c>
      <c r="BA74">
        <v>11.1</v>
      </c>
      <c r="BB74">
        <v>15.5</v>
      </c>
      <c r="BC74" s="23">
        <v>5.5</v>
      </c>
      <c r="BD74">
        <v>2.35</v>
      </c>
      <c r="BE74">
        <v>1.08</v>
      </c>
      <c r="BF74">
        <v>1.46</v>
      </c>
      <c r="BG74">
        <v>58</v>
      </c>
      <c r="BH74">
        <v>87</v>
      </c>
      <c r="BI74">
        <v>7.6</v>
      </c>
      <c r="BJ74">
        <v>6.5</v>
      </c>
      <c r="BK74">
        <v>103</v>
      </c>
      <c r="BL74">
        <v>92</v>
      </c>
      <c r="BM74">
        <v>18.7</v>
      </c>
      <c r="BN74">
        <v>11.9</v>
      </c>
      <c r="BO74">
        <v>6.8</v>
      </c>
      <c r="BP74">
        <v>3.4</v>
      </c>
      <c r="BQ74">
        <v>11.9</v>
      </c>
      <c r="BR74">
        <v>8.5</v>
      </c>
      <c r="BS74">
        <v>52.4</v>
      </c>
      <c r="BT74">
        <v>22.3</v>
      </c>
      <c r="BU74">
        <v>36.200000000000003</v>
      </c>
      <c r="BV74">
        <v>18.100000000000001</v>
      </c>
      <c r="BW74">
        <v>5</v>
      </c>
      <c r="BX74">
        <v>8.3000000000000007</v>
      </c>
    </row>
    <row r="75" spans="1:77" s="5" customFormat="1" x14ac:dyDescent="0.35">
      <c r="A75" s="5">
        <v>1</v>
      </c>
      <c r="B75" s="23">
        <v>2063</v>
      </c>
      <c r="C75" s="5" t="s">
        <v>548</v>
      </c>
      <c r="D75" s="5">
        <v>62</v>
      </c>
      <c r="E75" s="23" t="s">
        <v>453</v>
      </c>
      <c r="F75" s="5" t="s">
        <v>549</v>
      </c>
      <c r="G75" s="5" t="s">
        <v>550</v>
      </c>
      <c r="H75" s="5" t="s">
        <v>82</v>
      </c>
      <c r="I75" s="5" t="s">
        <v>183</v>
      </c>
      <c r="J75" s="5" t="s">
        <v>551</v>
      </c>
      <c r="K75" s="5" t="s">
        <v>552</v>
      </c>
      <c r="M75" s="23"/>
      <c r="O75" s="23">
        <v>86</v>
      </c>
      <c r="P75" s="5">
        <v>96</v>
      </c>
      <c r="Q75" s="5">
        <v>0</v>
      </c>
      <c r="R75" s="5">
        <v>10</v>
      </c>
      <c r="S75" s="6">
        <v>44653</v>
      </c>
      <c r="T75" s="6">
        <v>44677</v>
      </c>
      <c r="U75" s="5">
        <v>24</v>
      </c>
      <c r="V75" s="25">
        <v>44678</v>
      </c>
      <c r="X75" s="6"/>
      <c r="Z75" s="5" t="s">
        <v>91</v>
      </c>
      <c r="AA75" s="5" t="s">
        <v>170</v>
      </c>
      <c r="AB75" s="5">
        <v>24</v>
      </c>
      <c r="AC75" s="5" t="s">
        <v>553</v>
      </c>
      <c r="AD75" s="28">
        <v>121</v>
      </c>
      <c r="AE75" s="5">
        <v>123</v>
      </c>
      <c r="AF75" s="5">
        <v>7</v>
      </c>
      <c r="AG75" s="5">
        <v>13.5</v>
      </c>
      <c r="AH75" s="5">
        <v>14</v>
      </c>
      <c r="AI75" s="5">
        <v>3</v>
      </c>
      <c r="AJ75" s="5">
        <v>68</v>
      </c>
      <c r="AK75" s="5">
        <v>91</v>
      </c>
      <c r="AL75" s="5">
        <v>13</v>
      </c>
      <c r="AM75" s="5">
        <v>4</v>
      </c>
      <c r="AN75" s="5">
        <v>37</v>
      </c>
      <c r="AO75" s="5">
        <v>45</v>
      </c>
      <c r="AP75" s="5">
        <v>12</v>
      </c>
      <c r="AQ75" s="23">
        <v>10</v>
      </c>
      <c r="AT75" s="23"/>
      <c r="AU75" s="5">
        <v>1004</v>
      </c>
      <c r="AV75" s="5">
        <v>0.72</v>
      </c>
      <c r="AY75" s="28">
        <v>40</v>
      </c>
      <c r="AZ75" s="5">
        <v>36.799999999999997</v>
      </c>
      <c r="BA75" s="5">
        <v>15.8</v>
      </c>
      <c r="BB75" s="5">
        <v>12.5</v>
      </c>
      <c r="BC75" s="23">
        <v>7</v>
      </c>
      <c r="BD75" s="5">
        <v>5.05</v>
      </c>
      <c r="BE75" s="5">
        <v>1.48</v>
      </c>
      <c r="BF75" s="5">
        <v>1.2</v>
      </c>
      <c r="BG75" s="5">
        <v>68</v>
      </c>
      <c r="BH75" s="5">
        <v>81</v>
      </c>
      <c r="BI75" s="5">
        <v>10.199999999999999</v>
      </c>
      <c r="BJ75" s="5">
        <v>13.6</v>
      </c>
      <c r="BK75" s="5">
        <v>129</v>
      </c>
      <c r="BL75" s="5">
        <v>137</v>
      </c>
      <c r="BM75" s="5">
        <v>11.9</v>
      </c>
      <c r="BN75" s="5">
        <v>10.9</v>
      </c>
      <c r="BO75" s="5">
        <v>3.4</v>
      </c>
      <c r="BP75" s="5">
        <v>3.9</v>
      </c>
      <c r="BQ75" s="5">
        <v>8.5</v>
      </c>
      <c r="BR75" s="5">
        <v>9.1</v>
      </c>
      <c r="BS75" s="5">
        <v>30.2</v>
      </c>
      <c r="BT75" s="5">
        <v>30.2</v>
      </c>
      <c r="BU75" s="5">
        <v>22.1</v>
      </c>
      <c r="BV75" s="5">
        <v>24.1</v>
      </c>
      <c r="BW75" s="5">
        <v>13.5</v>
      </c>
      <c r="BX75" s="5">
        <v>14</v>
      </c>
    </row>
    <row r="76" spans="1:77" s="5" customFormat="1" x14ac:dyDescent="0.35">
      <c r="A76" s="5">
        <v>1</v>
      </c>
      <c r="B76" s="23">
        <v>2292</v>
      </c>
      <c r="C76" s="5" t="s">
        <v>554</v>
      </c>
      <c r="D76" s="5">
        <v>75</v>
      </c>
      <c r="E76" s="23" t="s">
        <v>453</v>
      </c>
      <c r="F76" s="5" t="s">
        <v>555</v>
      </c>
      <c r="G76" s="5" t="s">
        <v>455</v>
      </c>
      <c r="H76" s="5" t="s">
        <v>82</v>
      </c>
      <c r="I76" s="5" t="s">
        <v>183</v>
      </c>
      <c r="J76" s="5" t="s">
        <v>551</v>
      </c>
      <c r="K76" s="5" t="s">
        <v>556</v>
      </c>
      <c r="M76" s="23"/>
      <c r="O76" s="23">
        <v>65</v>
      </c>
      <c r="P76" s="5">
        <v>92</v>
      </c>
      <c r="Q76" s="5">
        <v>0</v>
      </c>
      <c r="R76" s="5">
        <v>14</v>
      </c>
      <c r="S76" s="6">
        <v>44659</v>
      </c>
      <c r="T76" s="12" t="s">
        <v>557</v>
      </c>
      <c r="U76" s="5">
        <v>16</v>
      </c>
      <c r="V76" s="25">
        <v>44675</v>
      </c>
      <c r="W76" s="5">
        <v>2</v>
      </c>
      <c r="X76" s="5">
        <v>6</v>
      </c>
      <c r="Z76" s="5" t="s">
        <v>135</v>
      </c>
      <c r="AA76" s="5" t="s">
        <v>558</v>
      </c>
      <c r="AB76" s="5">
        <v>16</v>
      </c>
      <c r="AC76" s="5" t="s">
        <v>521</v>
      </c>
      <c r="AD76" s="28">
        <v>81</v>
      </c>
      <c r="AE76" s="5">
        <v>51</v>
      </c>
      <c r="AF76" s="5">
        <v>12.3</v>
      </c>
      <c r="AG76" s="5">
        <v>13.3</v>
      </c>
      <c r="AH76" s="5">
        <v>21</v>
      </c>
      <c r="AI76" s="5">
        <v>14</v>
      </c>
      <c r="AJ76" s="5">
        <v>71</v>
      </c>
      <c r="AK76" s="5">
        <v>82</v>
      </c>
      <c r="AL76" s="5">
        <v>2</v>
      </c>
      <c r="AM76" s="5">
        <v>6</v>
      </c>
      <c r="AN76" s="5">
        <v>72</v>
      </c>
      <c r="AO76" s="5">
        <v>58</v>
      </c>
      <c r="AP76" s="5">
        <v>13</v>
      </c>
      <c r="AQ76" s="23">
        <v>8</v>
      </c>
      <c r="AT76" s="23"/>
      <c r="AY76" s="28">
        <v>25.2</v>
      </c>
      <c r="AZ76" s="5">
        <v>16</v>
      </c>
      <c r="BA76" s="5">
        <v>11.1</v>
      </c>
      <c r="BB76" s="5">
        <v>16.100000000000001</v>
      </c>
      <c r="BC76" s="23">
        <v>5.9</v>
      </c>
      <c r="BD76" s="5">
        <v>5.1100000000000003</v>
      </c>
      <c r="BE76" s="5">
        <v>1.08</v>
      </c>
      <c r="BF76" s="5">
        <v>1.51</v>
      </c>
      <c r="BG76" s="5">
        <v>67</v>
      </c>
      <c r="BH76" s="5">
        <v>68</v>
      </c>
      <c r="BI76" s="5">
        <v>60</v>
      </c>
      <c r="BJ76" s="5">
        <v>70</v>
      </c>
      <c r="BK76" s="5">
        <v>95</v>
      </c>
      <c r="BL76" s="5">
        <v>109</v>
      </c>
      <c r="BM76" s="5">
        <v>15.8</v>
      </c>
      <c r="BN76" s="5">
        <v>15.3</v>
      </c>
      <c r="BO76" s="5">
        <v>5.6</v>
      </c>
      <c r="BP76" s="5">
        <v>5.0999999999999996</v>
      </c>
      <c r="BQ76" s="5">
        <v>10.6</v>
      </c>
      <c r="BR76" s="5">
        <v>10.199999999999999</v>
      </c>
      <c r="BS76" s="5">
        <v>30.2</v>
      </c>
      <c r="BT76" s="5">
        <v>52.4</v>
      </c>
      <c r="BU76" s="5">
        <v>28.4</v>
      </c>
      <c r="BV76" s="5">
        <v>36.4</v>
      </c>
      <c r="BW76" s="5">
        <v>6</v>
      </c>
      <c r="BX76" s="5">
        <v>6.5</v>
      </c>
      <c r="BY76" s="5" t="s">
        <v>559</v>
      </c>
    </row>
    <row r="77" spans="1:77" s="5" customFormat="1" x14ac:dyDescent="0.35">
      <c r="A77" s="5">
        <v>1</v>
      </c>
      <c r="B77" s="23">
        <v>1015</v>
      </c>
      <c r="C77" s="5" t="s">
        <v>560</v>
      </c>
      <c r="D77" s="5">
        <v>71</v>
      </c>
      <c r="E77" s="23" t="s">
        <v>445</v>
      </c>
      <c r="F77" s="5" t="s">
        <v>561</v>
      </c>
      <c r="G77" s="5" t="s">
        <v>455</v>
      </c>
      <c r="H77" s="5" t="s">
        <v>82</v>
      </c>
      <c r="I77" s="5" t="s">
        <v>183</v>
      </c>
      <c r="J77" s="5" t="s">
        <v>551</v>
      </c>
      <c r="K77" s="5" t="s">
        <v>487</v>
      </c>
      <c r="M77" s="23"/>
      <c r="O77" s="23">
        <v>62</v>
      </c>
      <c r="P77" s="5">
        <v>88</v>
      </c>
      <c r="Q77" s="5">
        <v>0</v>
      </c>
      <c r="R77" s="5">
        <v>9</v>
      </c>
      <c r="S77" s="6">
        <v>44665</v>
      </c>
      <c r="T77" s="12" t="s">
        <v>562</v>
      </c>
      <c r="U77" s="5">
        <v>6</v>
      </c>
      <c r="V77" s="25">
        <v>44671</v>
      </c>
      <c r="W77" s="5">
        <v>3</v>
      </c>
      <c r="X77" s="5">
        <v>4</v>
      </c>
      <c r="Y77" s="5">
        <v>2</v>
      </c>
      <c r="Z77" s="5" t="s">
        <v>91</v>
      </c>
      <c r="AA77" s="5" t="s">
        <v>136</v>
      </c>
      <c r="AB77" s="5">
        <v>6</v>
      </c>
      <c r="AC77" s="5" t="s">
        <v>563</v>
      </c>
      <c r="AD77" s="28">
        <v>135</v>
      </c>
      <c r="AE77" s="5">
        <v>81</v>
      </c>
      <c r="AF77" s="5">
        <v>6.5</v>
      </c>
      <c r="AG77" s="5">
        <v>8.6999999999999993</v>
      </c>
      <c r="AH77" s="5">
        <v>27</v>
      </c>
      <c r="AI77" s="5">
        <v>13</v>
      </c>
      <c r="AJ77" s="5">
        <v>55</v>
      </c>
      <c r="AK77" s="5">
        <v>79</v>
      </c>
      <c r="AL77" s="5">
        <v>16</v>
      </c>
      <c r="AM77" s="5">
        <v>4</v>
      </c>
      <c r="AN77" s="5">
        <v>36</v>
      </c>
      <c r="AO77" s="5">
        <v>7</v>
      </c>
      <c r="AP77" s="5">
        <v>12</v>
      </c>
      <c r="AQ77" s="23">
        <v>24</v>
      </c>
      <c r="AR77" s="5">
        <v>9.7200000000000006</v>
      </c>
      <c r="AT77" s="23"/>
      <c r="AY77" s="28">
        <v>41</v>
      </c>
      <c r="AZ77" s="5">
        <v>30</v>
      </c>
      <c r="BA77" s="5">
        <v>12.4</v>
      </c>
      <c r="BB77" s="5">
        <v>15.2</v>
      </c>
      <c r="BC77" s="23">
        <v>7.6</v>
      </c>
      <c r="BD77" s="5">
        <v>3.09</v>
      </c>
      <c r="BE77" s="5">
        <v>1.1599999999999999</v>
      </c>
      <c r="BF77" s="5">
        <v>1.2</v>
      </c>
      <c r="BG77" s="5">
        <v>78</v>
      </c>
      <c r="BH77" s="5">
        <v>59</v>
      </c>
      <c r="BI77" s="5">
        <v>5.8</v>
      </c>
      <c r="BJ77" s="5">
        <v>5.6</v>
      </c>
      <c r="BK77" s="5">
        <v>85</v>
      </c>
      <c r="BL77" s="5">
        <v>89</v>
      </c>
      <c r="BM77" s="5">
        <v>11.9</v>
      </c>
      <c r="BN77" s="5">
        <v>15.3</v>
      </c>
      <c r="BO77" s="5">
        <v>3.4</v>
      </c>
      <c r="BP77" s="5">
        <v>5.0999999999999996</v>
      </c>
      <c r="BQ77" s="5">
        <v>8.5</v>
      </c>
      <c r="BR77" s="5">
        <v>10.199999999999999</v>
      </c>
      <c r="BS77" s="5">
        <v>30.2</v>
      </c>
      <c r="BT77" s="5">
        <v>90.4</v>
      </c>
      <c r="BU77" s="5">
        <v>22.1</v>
      </c>
      <c r="BV77" s="5">
        <v>60.4</v>
      </c>
      <c r="BW77" s="5">
        <v>9</v>
      </c>
      <c r="BX77" s="5">
        <v>10.6</v>
      </c>
    </row>
    <row r="78" spans="1:77" s="5" customFormat="1" x14ac:dyDescent="0.35">
      <c r="A78" s="5">
        <v>1</v>
      </c>
      <c r="B78" s="23">
        <v>1192</v>
      </c>
      <c r="C78" s="5" t="s">
        <v>564</v>
      </c>
      <c r="D78" s="5">
        <v>72</v>
      </c>
      <c r="E78" s="23" t="s">
        <v>453</v>
      </c>
      <c r="F78" s="5" t="s">
        <v>565</v>
      </c>
      <c r="G78" s="5" t="s">
        <v>455</v>
      </c>
      <c r="H78" s="5" t="s">
        <v>82</v>
      </c>
      <c r="I78" s="5" t="s">
        <v>183</v>
      </c>
      <c r="J78" s="5" t="s">
        <v>566</v>
      </c>
      <c r="K78" s="5" t="s">
        <v>567</v>
      </c>
      <c r="M78" s="23"/>
      <c r="O78" s="23">
        <v>80</v>
      </c>
      <c r="P78" s="5">
        <v>94</v>
      </c>
      <c r="Q78" s="5">
        <v>0</v>
      </c>
      <c r="R78" s="5">
        <v>15</v>
      </c>
      <c r="S78" s="6">
        <v>44656</v>
      </c>
      <c r="T78" s="6">
        <v>44663</v>
      </c>
      <c r="U78" s="5">
        <v>7</v>
      </c>
      <c r="V78" s="25">
        <v>44664</v>
      </c>
      <c r="W78" s="5">
        <v>2</v>
      </c>
      <c r="X78" s="5">
        <v>3</v>
      </c>
      <c r="Z78" s="5" t="s">
        <v>135</v>
      </c>
      <c r="AA78" s="5" t="s">
        <v>119</v>
      </c>
      <c r="AB78" s="5">
        <v>7</v>
      </c>
      <c r="AC78" s="5" t="s">
        <v>521</v>
      </c>
      <c r="AD78" s="28">
        <v>132</v>
      </c>
      <c r="AE78" s="5">
        <v>102</v>
      </c>
      <c r="AF78" s="5">
        <v>23.6</v>
      </c>
      <c r="AG78" s="5">
        <v>6.2</v>
      </c>
      <c r="AH78" s="5">
        <v>14</v>
      </c>
      <c r="AI78" s="5">
        <v>26</v>
      </c>
      <c r="AJ78" s="5">
        <v>65</v>
      </c>
      <c r="AK78" s="5">
        <v>67</v>
      </c>
      <c r="AL78" s="5">
        <v>15</v>
      </c>
      <c r="AM78" s="5">
        <v>2</v>
      </c>
      <c r="AN78" s="5">
        <v>26</v>
      </c>
      <c r="AO78" s="5">
        <v>15</v>
      </c>
      <c r="AP78" s="5">
        <v>15</v>
      </c>
      <c r="AQ78" s="23">
        <v>6</v>
      </c>
      <c r="AR78" s="5">
        <v>8.52</v>
      </c>
      <c r="AT78" s="23"/>
      <c r="AU78" s="5">
        <v>1581</v>
      </c>
      <c r="AX78" s="5">
        <v>0.1</v>
      </c>
      <c r="AY78" s="28">
        <v>32</v>
      </c>
      <c r="BA78" s="5">
        <v>16.100000000000001</v>
      </c>
      <c r="BC78" s="23">
        <v>3.04</v>
      </c>
      <c r="BE78" s="5">
        <v>1.5</v>
      </c>
      <c r="BG78" s="5">
        <v>69</v>
      </c>
      <c r="BI78" s="5">
        <v>10.1</v>
      </c>
      <c r="BK78" s="5">
        <v>115</v>
      </c>
      <c r="BM78" s="5">
        <v>13.6</v>
      </c>
      <c r="BO78" s="5">
        <v>3.4</v>
      </c>
      <c r="BQ78" s="5">
        <v>10.3</v>
      </c>
      <c r="BS78" s="5">
        <v>60.3</v>
      </c>
      <c r="BU78" s="5">
        <v>48.2</v>
      </c>
      <c r="BW78" s="5">
        <v>10.199999999999999</v>
      </c>
      <c r="BY78" s="5" t="s">
        <v>460</v>
      </c>
    </row>
    <row r="79" spans="1:77" s="5" customFormat="1" x14ac:dyDescent="0.35">
      <c r="A79" s="5">
        <v>1</v>
      </c>
      <c r="B79" s="23">
        <v>384</v>
      </c>
      <c r="C79" s="5" t="s">
        <v>568</v>
      </c>
      <c r="D79" s="5">
        <v>71</v>
      </c>
      <c r="E79" s="23" t="s">
        <v>453</v>
      </c>
      <c r="F79" s="5" t="s">
        <v>569</v>
      </c>
      <c r="G79" s="5" t="s">
        <v>455</v>
      </c>
      <c r="H79" s="5" t="s">
        <v>82</v>
      </c>
      <c r="I79" s="5" t="s">
        <v>183</v>
      </c>
      <c r="J79" s="5" t="s">
        <v>551</v>
      </c>
      <c r="K79" s="5" t="s">
        <v>570</v>
      </c>
      <c r="M79" s="23"/>
      <c r="O79" s="23">
        <v>86</v>
      </c>
      <c r="P79" s="5">
        <v>92</v>
      </c>
      <c r="Q79" s="5">
        <v>0</v>
      </c>
      <c r="R79" s="5">
        <v>14</v>
      </c>
      <c r="S79" s="6">
        <v>44650</v>
      </c>
      <c r="T79" s="6">
        <v>44621</v>
      </c>
      <c r="U79" s="5">
        <v>32</v>
      </c>
      <c r="V79" s="25">
        <v>44682</v>
      </c>
      <c r="X79" s="6"/>
      <c r="Y79" s="5">
        <v>2</v>
      </c>
      <c r="Z79" s="5" t="s">
        <v>571</v>
      </c>
      <c r="AA79" s="5" t="s">
        <v>572</v>
      </c>
      <c r="AB79" s="5">
        <v>32</v>
      </c>
      <c r="AC79" s="5" t="s">
        <v>521</v>
      </c>
      <c r="AD79" s="28" t="s">
        <v>573</v>
      </c>
      <c r="AQ79" s="23"/>
      <c r="AT79" s="23"/>
      <c r="AU79" s="5">
        <v>364</v>
      </c>
      <c r="AX79" s="5">
        <v>0.1</v>
      </c>
      <c r="AY79" s="28">
        <v>43</v>
      </c>
      <c r="BA79" s="5">
        <v>11.9</v>
      </c>
      <c r="BC79" s="23">
        <v>5.07</v>
      </c>
      <c r="BE79" s="5">
        <v>1.1499999999999999</v>
      </c>
      <c r="BG79" s="5">
        <v>80</v>
      </c>
      <c r="BH79" s="5">
        <v>54</v>
      </c>
      <c r="BI79" s="5">
        <v>4.8</v>
      </c>
      <c r="BJ79" s="5">
        <v>8.6</v>
      </c>
      <c r="BK79" s="5">
        <v>69</v>
      </c>
      <c r="BL79" s="5">
        <v>114</v>
      </c>
      <c r="BM79" s="5">
        <v>11.9</v>
      </c>
      <c r="BN79" s="5">
        <v>15.3</v>
      </c>
      <c r="BO79" s="5">
        <v>3.4</v>
      </c>
      <c r="BP79" s="5">
        <v>5.0999999999999996</v>
      </c>
      <c r="BQ79" s="5">
        <v>8.5</v>
      </c>
      <c r="BR79" s="5">
        <v>10.199999999999999</v>
      </c>
      <c r="BS79" s="5">
        <v>37.700000000000003</v>
      </c>
      <c r="BT79" s="5">
        <v>52.4</v>
      </c>
      <c r="BU79" s="5">
        <v>22.1</v>
      </c>
      <c r="BV79" s="5">
        <v>42.2</v>
      </c>
      <c r="BW79" s="5">
        <v>6.5</v>
      </c>
      <c r="BX79" s="5">
        <v>15.4</v>
      </c>
    </row>
    <row r="80" spans="1:77" s="5" customFormat="1" x14ac:dyDescent="0.35">
      <c r="A80" s="5">
        <v>1</v>
      </c>
      <c r="B80" s="23">
        <v>344</v>
      </c>
      <c r="C80" s="5" t="s">
        <v>574</v>
      </c>
      <c r="D80" s="5">
        <v>49</v>
      </c>
      <c r="E80" s="23" t="s">
        <v>453</v>
      </c>
      <c r="G80" s="5" t="s">
        <v>455</v>
      </c>
      <c r="H80" s="5" t="s">
        <v>82</v>
      </c>
      <c r="I80" s="5" t="s">
        <v>183</v>
      </c>
      <c r="J80" s="5" t="s">
        <v>575</v>
      </c>
      <c r="K80" s="5" t="s">
        <v>576</v>
      </c>
      <c r="M80" s="23"/>
      <c r="O80" s="23">
        <v>78</v>
      </c>
      <c r="P80" s="5">
        <v>90</v>
      </c>
      <c r="Q80" s="5">
        <v>0</v>
      </c>
      <c r="R80" s="5">
        <v>3</v>
      </c>
      <c r="S80" s="6">
        <v>44645</v>
      </c>
      <c r="T80" s="6">
        <v>44718</v>
      </c>
      <c r="U80" s="5">
        <v>73</v>
      </c>
      <c r="V80" s="25">
        <v>44719</v>
      </c>
      <c r="W80" s="6" t="s">
        <v>577</v>
      </c>
      <c r="X80" s="5">
        <v>3</v>
      </c>
      <c r="Y80" s="15" t="s">
        <v>578</v>
      </c>
      <c r="Z80" s="6" t="s">
        <v>104</v>
      </c>
      <c r="AA80" s="6" t="s">
        <v>579</v>
      </c>
      <c r="AB80" s="5">
        <v>68</v>
      </c>
      <c r="AC80" s="5" t="s">
        <v>563</v>
      </c>
      <c r="AD80" s="28">
        <v>113</v>
      </c>
      <c r="AE80" s="5">
        <v>120</v>
      </c>
      <c r="AF80" s="5">
        <v>1</v>
      </c>
      <c r="AG80" s="5">
        <v>22.9</v>
      </c>
      <c r="AH80" s="5">
        <v>0</v>
      </c>
      <c r="AI80" s="5">
        <v>30</v>
      </c>
      <c r="AJ80" s="5">
        <v>34</v>
      </c>
      <c r="AK80" s="5">
        <v>30</v>
      </c>
      <c r="AL80" s="5">
        <v>44</v>
      </c>
      <c r="AM80" s="5">
        <v>30</v>
      </c>
      <c r="AN80" s="5">
        <v>21</v>
      </c>
      <c r="AO80" s="5">
        <v>56</v>
      </c>
      <c r="AP80" s="5">
        <v>9</v>
      </c>
      <c r="AQ80" s="23">
        <v>12</v>
      </c>
      <c r="AT80" s="23"/>
      <c r="AU80" s="5">
        <v>3223</v>
      </c>
      <c r="AV80" s="5">
        <v>4690</v>
      </c>
      <c r="AX80" s="5">
        <v>0.1</v>
      </c>
      <c r="AY80" s="28">
        <v>35</v>
      </c>
      <c r="AZ80" s="5">
        <v>38</v>
      </c>
      <c r="BA80" s="5">
        <v>13</v>
      </c>
      <c r="BB80" s="5">
        <v>12.2</v>
      </c>
      <c r="BC80" s="23">
        <v>2.15</v>
      </c>
      <c r="BD80" s="5">
        <v>5.01</v>
      </c>
      <c r="BE80" s="5">
        <v>1.24</v>
      </c>
      <c r="BF80" s="5">
        <v>1.18</v>
      </c>
      <c r="BG80" s="5">
        <v>62</v>
      </c>
      <c r="BH80" s="5">
        <v>60</v>
      </c>
      <c r="BI80" s="5">
        <v>4.2</v>
      </c>
      <c r="BJ80" s="5">
        <v>4.5999999999999996</v>
      </c>
      <c r="BK80" s="5">
        <v>76</v>
      </c>
      <c r="BL80" s="5">
        <v>72</v>
      </c>
      <c r="BM80" s="5">
        <v>11.9</v>
      </c>
      <c r="BN80" s="5">
        <v>12.1</v>
      </c>
      <c r="BO80" s="5">
        <v>3.4</v>
      </c>
      <c r="BP80" s="5">
        <v>3.4</v>
      </c>
      <c r="BQ80" s="5">
        <v>10.199999999999999</v>
      </c>
      <c r="BR80" s="5">
        <v>8.5</v>
      </c>
      <c r="BS80" s="5">
        <v>75.400000000000006</v>
      </c>
      <c r="BT80" s="5">
        <v>45.2</v>
      </c>
      <c r="BU80" s="5">
        <v>42.2</v>
      </c>
      <c r="BV80" s="5">
        <v>30.2</v>
      </c>
      <c r="BW80" s="5">
        <v>5.9</v>
      </c>
      <c r="BX80" s="5">
        <v>4.5</v>
      </c>
      <c r="BY80" s="5" t="s">
        <v>580</v>
      </c>
    </row>
    <row r="81" spans="1:77" s="5" customFormat="1" x14ac:dyDescent="0.35">
      <c r="A81" s="5">
        <v>1</v>
      </c>
      <c r="B81" s="23">
        <v>3136</v>
      </c>
      <c r="C81" s="5" t="s">
        <v>581</v>
      </c>
      <c r="D81" s="5">
        <v>81</v>
      </c>
      <c r="E81" s="23" t="s">
        <v>453</v>
      </c>
      <c r="F81" s="5" t="s">
        <v>582</v>
      </c>
      <c r="G81" s="5" t="s">
        <v>455</v>
      </c>
      <c r="H81" s="5" t="s">
        <v>82</v>
      </c>
      <c r="I81" s="5" t="s">
        <v>183</v>
      </c>
      <c r="J81" s="5" t="s">
        <v>583</v>
      </c>
      <c r="K81" s="5" t="s">
        <v>584</v>
      </c>
      <c r="M81" s="23"/>
      <c r="O81" s="23">
        <v>60</v>
      </c>
      <c r="P81" s="5">
        <v>96</v>
      </c>
      <c r="Q81" s="5">
        <v>0</v>
      </c>
      <c r="R81" s="5">
        <v>7</v>
      </c>
      <c r="S81" s="6">
        <v>44645</v>
      </c>
      <c r="T81" s="6">
        <v>44649</v>
      </c>
      <c r="U81" s="5">
        <v>4</v>
      </c>
      <c r="V81" s="25">
        <v>44650</v>
      </c>
      <c r="W81" s="6" t="s">
        <v>585</v>
      </c>
      <c r="X81" s="5">
        <v>1</v>
      </c>
      <c r="Z81" s="5" t="s">
        <v>323</v>
      </c>
      <c r="AA81" s="5" t="s">
        <v>119</v>
      </c>
      <c r="AB81" s="5">
        <v>4</v>
      </c>
      <c r="AD81" s="28">
        <v>147</v>
      </c>
      <c r="AF81" s="5">
        <v>17.899999999999999</v>
      </c>
      <c r="AH81" s="5">
        <v>20</v>
      </c>
      <c r="AJ81" s="5">
        <v>73</v>
      </c>
      <c r="AL81" s="5">
        <v>2</v>
      </c>
      <c r="AN81" s="5">
        <v>35</v>
      </c>
      <c r="AQ81" s="23"/>
      <c r="AT81" s="23"/>
      <c r="AY81" s="28"/>
      <c r="BC81" s="23"/>
      <c r="BG81" s="5">
        <v>61</v>
      </c>
      <c r="BI81" s="5">
        <v>16</v>
      </c>
      <c r="BK81" s="5">
        <v>181</v>
      </c>
      <c r="BS81" s="5">
        <v>37.4</v>
      </c>
      <c r="BU81" s="5">
        <v>18.100000000000001</v>
      </c>
      <c r="BW81" s="5">
        <v>6.9</v>
      </c>
    </row>
    <row r="82" spans="1:77" s="5" customFormat="1" x14ac:dyDescent="0.35">
      <c r="A82" s="5">
        <v>1</v>
      </c>
      <c r="B82" s="23">
        <v>2778</v>
      </c>
      <c r="C82" s="5" t="s">
        <v>586</v>
      </c>
      <c r="D82" s="5">
        <v>82</v>
      </c>
      <c r="E82" s="23" t="s">
        <v>453</v>
      </c>
      <c r="F82" s="5" t="s">
        <v>587</v>
      </c>
      <c r="G82" s="5" t="s">
        <v>455</v>
      </c>
      <c r="H82" s="5" t="s">
        <v>82</v>
      </c>
      <c r="I82" s="5" t="s">
        <v>183</v>
      </c>
      <c r="J82" s="5" t="s">
        <v>588</v>
      </c>
      <c r="K82" s="5" t="s">
        <v>589</v>
      </c>
      <c r="M82" s="23"/>
      <c r="O82" s="23">
        <v>83</v>
      </c>
      <c r="P82" s="5">
        <v>94</v>
      </c>
      <c r="Q82" s="5">
        <v>0</v>
      </c>
      <c r="R82" s="5">
        <v>5</v>
      </c>
      <c r="S82" s="6">
        <v>44625</v>
      </c>
      <c r="T82" s="6">
        <v>44656</v>
      </c>
      <c r="U82" s="5">
        <v>31</v>
      </c>
      <c r="V82" s="25">
        <v>44657</v>
      </c>
      <c r="Y82" s="5">
        <v>7</v>
      </c>
      <c r="Z82" s="5" t="s">
        <v>119</v>
      </c>
      <c r="AA82" s="5" t="s">
        <v>104</v>
      </c>
      <c r="AB82" s="5">
        <v>31</v>
      </c>
      <c r="AC82" s="5" t="s">
        <v>521</v>
      </c>
      <c r="AD82" s="28">
        <v>143</v>
      </c>
      <c r="AE82" s="5">
        <v>154</v>
      </c>
      <c r="AF82" s="5">
        <v>9.8000000000000007</v>
      </c>
      <c r="AG82" s="5">
        <v>14.2</v>
      </c>
      <c r="AH82" s="5">
        <v>17</v>
      </c>
      <c r="AI82" s="5">
        <v>16</v>
      </c>
      <c r="AJ82" s="5">
        <v>72</v>
      </c>
      <c r="AK82" s="5">
        <v>79</v>
      </c>
      <c r="AL82" s="5">
        <v>8</v>
      </c>
      <c r="AM82" s="5">
        <v>3</v>
      </c>
      <c r="AN82" s="5">
        <v>54</v>
      </c>
      <c r="AO82" s="5">
        <v>8</v>
      </c>
      <c r="AP82" s="5">
        <v>12</v>
      </c>
      <c r="AQ82" s="23">
        <v>8</v>
      </c>
      <c r="AT82" s="23"/>
      <c r="AY82" s="28">
        <v>43</v>
      </c>
      <c r="BA82" s="5">
        <v>15.6</v>
      </c>
      <c r="BC82" s="23">
        <v>7</v>
      </c>
      <c r="BE82" s="5">
        <v>1.52</v>
      </c>
      <c r="BG82" s="5">
        <v>69</v>
      </c>
      <c r="BH82" s="5">
        <v>56</v>
      </c>
      <c r="BI82" s="5">
        <v>7.9</v>
      </c>
      <c r="BJ82" s="5">
        <v>6.1</v>
      </c>
      <c r="BK82" s="5">
        <v>106</v>
      </c>
      <c r="BL82" s="5">
        <v>87</v>
      </c>
      <c r="BM82" s="5">
        <v>11.9</v>
      </c>
      <c r="BN82" s="5">
        <v>15.3</v>
      </c>
      <c r="BO82" s="5">
        <v>3.4</v>
      </c>
      <c r="BP82" s="5">
        <v>5.0999999999999996</v>
      </c>
      <c r="BQ82" s="5">
        <v>8.5</v>
      </c>
      <c r="BR82" s="5">
        <v>10.199999999999999</v>
      </c>
      <c r="BS82" s="5">
        <v>37.200000000000003</v>
      </c>
      <c r="BT82" s="5">
        <v>45.2</v>
      </c>
      <c r="BU82" s="5">
        <v>24.1</v>
      </c>
      <c r="BV82" s="5">
        <v>30.2</v>
      </c>
      <c r="BW82" s="5">
        <v>9.4</v>
      </c>
      <c r="BX82" s="5">
        <v>6.7</v>
      </c>
    </row>
    <row r="83" spans="1:77" s="5" customFormat="1" x14ac:dyDescent="0.35">
      <c r="A83" s="5">
        <v>1</v>
      </c>
      <c r="B83" s="23">
        <v>2551</v>
      </c>
      <c r="C83" s="5" t="s">
        <v>590</v>
      </c>
      <c r="D83" s="5">
        <v>49</v>
      </c>
      <c r="E83" s="23" t="s">
        <v>453</v>
      </c>
      <c r="F83" s="5" t="s">
        <v>591</v>
      </c>
      <c r="G83" s="5" t="s">
        <v>455</v>
      </c>
      <c r="H83" s="5" t="s">
        <v>82</v>
      </c>
      <c r="I83" s="5" t="s">
        <v>183</v>
      </c>
      <c r="J83" s="5" t="s">
        <v>566</v>
      </c>
      <c r="K83" s="5" t="s">
        <v>592</v>
      </c>
      <c r="M83" s="23"/>
      <c r="O83" s="23">
        <v>86</v>
      </c>
      <c r="P83" s="5">
        <v>93</v>
      </c>
      <c r="Q83" s="5">
        <v>0</v>
      </c>
      <c r="R83" s="5">
        <v>7</v>
      </c>
      <c r="S83" s="6">
        <v>44646</v>
      </c>
      <c r="T83" s="6">
        <v>44683</v>
      </c>
      <c r="U83" s="5">
        <v>37</v>
      </c>
      <c r="V83" s="25">
        <v>44595</v>
      </c>
      <c r="W83" s="5">
        <v>5</v>
      </c>
      <c r="Y83" s="5">
        <v>8</v>
      </c>
      <c r="Z83" s="5" t="s">
        <v>171</v>
      </c>
      <c r="AA83" s="5" t="s">
        <v>171</v>
      </c>
      <c r="AB83" s="5">
        <v>37</v>
      </c>
      <c r="AC83" s="5" t="s">
        <v>553</v>
      </c>
      <c r="AD83" s="28">
        <v>134</v>
      </c>
      <c r="AE83" s="5">
        <v>74</v>
      </c>
      <c r="AF83" s="5">
        <v>6.5</v>
      </c>
      <c r="AG83" s="5">
        <v>18.7</v>
      </c>
      <c r="AH83" s="5">
        <v>17</v>
      </c>
      <c r="AI83" s="5">
        <v>29</v>
      </c>
      <c r="AJ83" s="5">
        <v>65</v>
      </c>
      <c r="AK83" s="5">
        <v>66</v>
      </c>
      <c r="AL83" s="5">
        <v>13</v>
      </c>
      <c r="AM83" s="5">
        <v>3</v>
      </c>
      <c r="AN83" s="5">
        <v>20</v>
      </c>
      <c r="AO83" s="5">
        <v>60</v>
      </c>
      <c r="AP83" s="5">
        <v>24</v>
      </c>
      <c r="AQ83" s="23">
        <v>18</v>
      </c>
      <c r="AT83" s="23"/>
      <c r="AU83" s="5">
        <v>543</v>
      </c>
      <c r="AY83" s="28">
        <v>34</v>
      </c>
      <c r="AZ83" s="5">
        <v>35</v>
      </c>
      <c r="BA83" s="5">
        <v>12.6</v>
      </c>
      <c r="BB83" s="5">
        <v>14.8</v>
      </c>
      <c r="BC83" s="23">
        <v>3.8</v>
      </c>
      <c r="BD83" s="5">
        <v>7.22</v>
      </c>
      <c r="BE83" s="5">
        <v>1.21</v>
      </c>
      <c r="BF83" s="5">
        <v>1.39</v>
      </c>
      <c r="BG83" s="5">
        <v>60</v>
      </c>
      <c r="BH83" s="5">
        <v>70</v>
      </c>
      <c r="BI83" s="5">
        <v>4.7</v>
      </c>
      <c r="BJ83" s="5">
        <v>9.4</v>
      </c>
      <c r="BK83" s="5">
        <v>70</v>
      </c>
      <c r="BL83" s="5">
        <v>129</v>
      </c>
      <c r="BM83" s="5">
        <v>18.7</v>
      </c>
      <c r="BN83" s="5">
        <v>18.600000000000001</v>
      </c>
      <c r="BO83" s="5">
        <v>6.8</v>
      </c>
      <c r="BP83" s="5">
        <v>6.8</v>
      </c>
      <c r="BQ83" s="5">
        <v>11.9</v>
      </c>
      <c r="BR83" s="5">
        <v>11.9</v>
      </c>
      <c r="BS83" s="5">
        <v>75.400000000000006</v>
      </c>
      <c r="BT83" s="5">
        <v>67.5</v>
      </c>
      <c r="BU83" s="5">
        <v>36.200000000000003</v>
      </c>
      <c r="BV83" s="5">
        <v>48.2</v>
      </c>
      <c r="BW83" s="5">
        <v>5.0999999999999996</v>
      </c>
      <c r="BX83" s="5">
        <v>9</v>
      </c>
    </row>
    <row r="84" spans="1:77" s="5" customFormat="1" x14ac:dyDescent="0.35">
      <c r="A84" s="5">
        <v>1</v>
      </c>
      <c r="B84" s="23">
        <v>1837</v>
      </c>
      <c r="C84" s="5" t="s">
        <v>593</v>
      </c>
      <c r="D84" s="5">
        <v>97</v>
      </c>
      <c r="E84" s="23" t="s">
        <v>453</v>
      </c>
      <c r="F84" s="5" t="s">
        <v>594</v>
      </c>
      <c r="G84" s="5" t="s">
        <v>455</v>
      </c>
      <c r="H84" s="5" t="s">
        <v>82</v>
      </c>
      <c r="I84" s="5" t="s">
        <v>183</v>
      </c>
      <c r="J84" s="5" t="s">
        <v>551</v>
      </c>
      <c r="K84" s="5" t="s">
        <v>595</v>
      </c>
      <c r="L84" s="7">
        <v>0.6</v>
      </c>
      <c r="M84" s="23" t="s">
        <v>82</v>
      </c>
      <c r="O84" s="23">
        <v>81</v>
      </c>
      <c r="P84" s="5">
        <v>95</v>
      </c>
      <c r="Q84" s="5">
        <v>0</v>
      </c>
      <c r="R84" s="5">
        <v>3</v>
      </c>
      <c r="S84" s="6">
        <v>44701</v>
      </c>
      <c r="T84" s="6">
        <v>44734</v>
      </c>
      <c r="U84" s="5">
        <v>33</v>
      </c>
      <c r="V84" s="25">
        <v>44734</v>
      </c>
      <c r="W84" s="5">
        <v>4</v>
      </c>
      <c r="Y84" s="5">
        <v>6</v>
      </c>
      <c r="Z84" s="5" t="s">
        <v>596</v>
      </c>
      <c r="AA84" s="5" t="s">
        <v>104</v>
      </c>
      <c r="AB84" s="5">
        <v>33</v>
      </c>
      <c r="AC84" s="5" t="s">
        <v>521</v>
      </c>
      <c r="AD84" s="28">
        <v>146</v>
      </c>
      <c r="AE84" s="5">
        <v>151</v>
      </c>
      <c r="AF84" s="5">
        <v>2.1</v>
      </c>
      <c r="AG84" s="5">
        <v>15.5</v>
      </c>
      <c r="AH84" s="5">
        <v>13</v>
      </c>
      <c r="AI84" s="5">
        <v>13</v>
      </c>
      <c r="AJ84" s="5">
        <v>51</v>
      </c>
      <c r="AK84" s="5">
        <v>73</v>
      </c>
      <c r="AL84" s="5">
        <v>32</v>
      </c>
      <c r="AM84" s="5">
        <v>9</v>
      </c>
      <c r="AN84" s="5">
        <v>37</v>
      </c>
      <c r="AO84" s="5">
        <v>11</v>
      </c>
      <c r="AP84" s="5">
        <v>18</v>
      </c>
      <c r="AQ84" s="23">
        <v>12</v>
      </c>
      <c r="AT84" s="23"/>
      <c r="AU84" s="5">
        <v>10000</v>
      </c>
      <c r="AV84" s="5">
        <v>919</v>
      </c>
      <c r="AX84" s="5">
        <v>10</v>
      </c>
      <c r="AY84" s="28">
        <v>44</v>
      </c>
      <c r="AZ84" s="5">
        <v>48</v>
      </c>
      <c r="BA84" s="5">
        <v>10.8</v>
      </c>
      <c r="BB84" s="5">
        <v>12.9</v>
      </c>
      <c r="BC84" s="23">
        <v>4.4800000000000004</v>
      </c>
      <c r="BD84" s="5">
        <v>4.53</v>
      </c>
      <c r="BE84" s="5">
        <v>10.6</v>
      </c>
      <c r="BF84" s="5">
        <v>1.24</v>
      </c>
      <c r="BG84" s="5">
        <v>77</v>
      </c>
      <c r="BH84" s="5">
        <v>74</v>
      </c>
      <c r="BI84" s="5">
        <v>8.9</v>
      </c>
      <c r="BJ84" s="5">
        <v>8.1</v>
      </c>
      <c r="BK84" s="5">
        <v>120</v>
      </c>
      <c r="BL84" s="5">
        <v>108</v>
      </c>
      <c r="BM84" s="5">
        <v>20.399999999999999</v>
      </c>
      <c r="BN84" s="5">
        <v>22.1</v>
      </c>
      <c r="BO84" s="5">
        <v>6.8</v>
      </c>
      <c r="BP84" s="5">
        <v>6.8</v>
      </c>
      <c r="BQ84" s="5">
        <v>13.6</v>
      </c>
      <c r="BR84" s="5">
        <v>15.3</v>
      </c>
      <c r="BS84" s="5">
        <v>30.2</v>
      </c>
      <c r="BT84" s="5">
        <v>37.4</v>
      </c>
      <c r="BU84" s="5">
        <v>36.200000000000003</v>
      </c>
      <c r="BV84" s="5">
        <v>24.1</v>
      </c>
      <c r="BW84" s="5">
        <v>5.4</v>
      </c>
      <c r="BX84" s="5">
        <v>4</v>
      </c>
    </row>
    <row r="85" spans="1:77" s="5" customFormat="1" x14ac:dyDescent="0.35">
      <c r="A85" s="5">
        <v>1</v>
      </c>
      <c r="B85" s="23">
        <v>1742</v>
      </c>
      <c r="C85" s="5" t="s">
        <v>597</v>
      </c>
      <c r="D85" s="5">
        <v>81</v>
      </c>
      <c r="E85" s="23" t="s">
        <v>110</v>
      </c>
      <c r="F85" s="5" t="s">
        <v>598</v>
      </c>
      <c r="G85" s="5" t="s">
        <v>599</v>
      </c>
      <c r="H85" s="5" t="s">
        <v>82</v>
      </c>
      <c r="I85" s="5" t="s">
        <v>98</v>
      </c>
      <c r="J85" s="5" t="s">
        <v>600</v>
      </c>
      <c r="K85" s="5" t="s">
        <v>601</v>
      </c>
      <c r="M85" s="23"/>
      <c r="O85" s="23">
        <v>70</v>
      </c>
      <c r="P85" s="5">
        <v>97</v>
      </c>
      <c r="R85" s="5">
        <v>8</v>
      </c>
      <c r="S85" s="6">
        <v>44618</v>
      </c>
      <c r="T85" s="6">
        <v>44624</v>
      </c>
      <c r="U85" s="5">
        <v>6</v>
      </c>
      <c r="V85" s="25">
        <v>44625</v>
      </c>
      <c r="W85" s="5" t="s">
        <v>195</v>
      </c>
      <c r="Z85" s="5" t="s">
        <v>104</v>
      </c>
      <c r="AA85" s="5" t="s">
        <v>104</v>
      </c>
      <c r="AB85" s="5">
        <v>6</v>
      </c>
      <c r="AD85" s="28">
        <v>131</v>
      </c>
      <c r="AF85" s="5">
        <v>18.5</v>
      </c>
      <c r="AH85" s="5">
        <v>14</v>
      </c>
      <c r="AJ85" s="5">
        <v>76</v>
      </c>
      <c r="AL85" s="5">
        <v>6</v>
      </c>
      <c r="AN85" s="5">
        <v>25</v>
      </c>
      <c r="AQ85" s="23"/>
      <c r="AT85" s="23"/>
      <c r="AY85" s="28"/>
      <c r="BC85" s="23"/>
      <c r="BG85" s="5">
        <v>65</v>
      </c>
      <c r="BI85" s="5">
        <v>8.4</v>
      </c>
      <c r="BK85" s="5">
        <v>126</v>
      </c>
      <c r="BM85" s="5">
        <v>11.9</v>
      </c>
      <c r="BO85" s="5">
        <v>3.4</v>
      </c>
      <c r="BQ85" s="5">
        <v>8.5</v>
      </c>
      <c r="BS85" s="5">
        <v>67.5</v>
      </c>
      <c r="BU85" s="5">
        <v>42.2</v>
      </c>
      <c r="BW85" s="5">
        <v>9.4</v>
      </c>
    </row>
    <row r="86" spans="1:77" s="5" customFormat="1" x14ac:dyDescent="0.35">
      <c r="A86" s="5">
        <v>1</v>
      </c>
      <c r="B86" s="23">
        <v>42</v>
      </c>
      <c r="C86" s="5" t="s">
        <v>602</v>
      </c>
      <c r="D86" s="5">
        <v>74</v>
      </c>
      <c r="E86" s="23" t="s">
        <v>79</v>
      </c>
      <c r="F86" s="5" t="s">
        <v>603</v>
      </c>
      <c r="G86" s="5" t="s">
        <v>599</v>
      </c>
      <c r="H86" s="5" t="s">
        <v>82</v>
      </c>
      <c r="I86" s="5" t="s">
        <v>98</v>
      </c>
      <c r="J86" s="5" t="s">
        <v>604</v>
      </c>
      <c r="K86" s="5" t="s">
        <v>605</v>
      </c>
      <c r="L86" s="5" t="s">
        <v>606</v>
      </c>
      <c r="M86" s="23"/>
      <c r="O86" s="23">
        <v>50</v>
      </c>
      <c r="P86" s="5">
        <v>90</v>
      </c>
      <c r="R86" s="5">
        <v>7</v>
      </c>
      <c r="S86" s="6">
        <v>44606</v>
      </c>
      <c r="T86" s="6">
        <v>44616</v>
      </c>
      <c r="U86" s="5">
        <v>10</v>
      </c>
      <c r="V86" s="25">
        <v>44617</v>
      </c>
      <c r="W86" s="5" t="s">
        <v>89</v>
      </c>
      <c r="Z86" s="5" t="s">
        <v>104</v>
      </c>
      <c r="AA86" s="5" t="s">
        <v>119</v>
      </c>
      <c r="AB86" s="5">
        <v>10</v>
      </c>
      <c r="AC86" s="5" t="s">
        <v>607</v>
      </c>
      <c r="AD86" s="28">
        <v>86</v>
      </c>
      <c r="AE86" s="5">
        <v>110</v>
      </c>
      <c r="AF86" s="5">
        <v>1.3</v>
      </c>
      <c r="AG86" s="5">
        <v>1.9</v>
      </c>
      <c r="AH86" s="5">
        <v>6</v>
      </c>
      <c r="AI86" s="5">
        <v>24</v>
      </c>
      <c r="AJ86" s="5">
        <v>70</v>
      </c>
      <c r="AK86" s="5">
        <v>53</v>
      </c>
      <c r="AL86" s="5">
        <v>18</v>
      </c>
      <c r="AM86" s="5">
        <v>17</v>
      </c>
      <c r="AN86" s="5">
        <v>40</v>
      </c>
      <c r="AO86" s="5">
        <v>36</v>
      </c>
      <c r="AP86" s="5">
        <v>9</v>
      </c>
      <c r="AQ86" s="23">
        <v>9</v>
      </c>
      <c r="AT86" s="23"/>
      <c r="AY86" s="28">
        <v>24</v>
      </c>
      <c r="AZ86" s="5">
        <v>40</v>
      </c>
      <c r="BA86" s="5">
        <v>14</v>
      </c>
      <c r="BB86" s="5">
        <v>9.4</v>
      </c>
      <c r="BC86" s="23">
        <v>5.0199999999999996</v>
      </c>
      <c r="BD86" s="5">
        <v>8.01</v>
      </c>
      <c r="BE86" s="5">
        <v>1.36</v>
      </c>
      <c r="BF86" s="5">
        <v>0.92</v>
      </c>
      <c r="BG86" s="5">
        <v>58</v>
      </c>
      <c r="BH86" s="5">
        <v>50</v>
      </c>
      <c r="BI86" s="5">
        <v>5.3</v>
      </c>
      <c r="BJ86" s="5">
        <v>14</v>
      </c>
      <c r="BK86" s="5">
        <v>78</v>
      </c>
      <c r="BL86" s="5">
        <v>138</v>
      </c>
      <c r="BN86" s="5">
        <v>18.7</v>
      </c>
      <c r="BP86" s="5">
        <v>6.8</v>
      </c>
      <c r="BR86" s="5">
        <v>11.9</v>
      </c>
      <c r="BS86" s="5">
        <v>52.4</v>
      </c>
      <c r="BT86" s="5">
        <v>60.3</v>
      </c>
      <c r="BU86" s="5">
        <v>37.54</v>
      </c>
      <c r="BV86" s="5">
        <v>52.4</v>
      </c>
      <c r="BW86" s="5">
        <v>4.0999999999999996</v>
      </c>
      <c r="BX86" s="5">
        <v>5.6</v>
      </c>
    </row>
    <row r="87" spans="1:77" s="5" customFormat="1" x14ac:dyDescent="0.35">
      <c r="A87" s="5">
        <v>1</v>
      </c>
      <c r="B87" s="23">
        <v>1734</v>
      </c>
      <c r="C87" s="5" t="s">
        <v>608</v>
      </c>
      <c r="D87" s="5">
        <v>67</v>
      </c>
      <c r="E87" s="23" t="s">
        <v>110</v>
      </c>
      <c r="F87" s="5" t="s">
        <v>609</v>
      </c>
      <c r="G87" s="5" t="s">
        <v>599</v>
      </c>
      <c r="H87" s="5" t="s">
        <v>82</v>
      </c>
      <c r="I87" s="5" t="s">
        <v>98</v>
      </c>
      <c r="J87" s="5" t="s">
        <v>600</v>
      </c>
      <c r="K87" s="5" t="s">
        <v>610</v>
      </c>
      <c r="L87" s="7">
        <v>0.3</v>
      </c>
      <c r="M87" s="23" t="s">
        <v>611</v>
      </c>
      <c r="N87" s="5" t="s">
        <v>612</v>
      </c>
      <c r="O87" s="23">
        <v>83</v>
      </c>
      <c r="P87" s="5">
        <v>91</v>
      </c>
      <c r="R87" s="5">
        <v>8</v>
      </c>
      <c r="S87" s="6">
        <v>44594</v>
      </c>
      <c r="T87" s="6">
        <v>44622</v>
      </c>
      <c r="U87" s="5">
        <v>28</v>
      </c>
      <c r="V87" s="25">
        <v>44622</v>
      </c>
      <c r="W87" s="5" t="s">
        <v>89</v>
      </c>
      <c r="X87" s="5" t="s">
        <v>207</v>
      </c>
      <c r="Z87" s="5" t="s">
        <v>329</v>
      </c>
      <c r="AA87" s="5" t="s">
        <v>104</v>
      </c>
      <c r="AB87" s="5">
        <v>28</v>
      </c>
      <c r="AC87" s="5" t="s">
        <v>613</v>
      </c>
      <c r="AD87" s="28">
        <v>104</v>
      </c>
      <c r="AE87" s="5">
        <v>106</v>
      </c>
      <c r="AF87" s="5">
        <v>6.7</v>
      </c>
      <c r="AG87" s="5">
        <v>33.5</v>
      </c>
      <c r="AH87" s="5">
        <v>6</v>
      </c>
      <c r="AI87" s="5">
        <v>17</v>
      </c>
      <c r="AJ87" s="5">
        <v>90</v>
      </c>
      <c r="AK87" s="5">
        <v>78</v>
      </c>
      <c r="AL87" s="5">
        <v>4</v>
      </c>
      <c r="AM87" s="5">
        <v>1</v>
      </c>
      <c r="AN87" s="5">
        <v>20</v>
      </c>
      <c r="AO87" s="5">
        <v>46</v>
      </c>
      <c r="AP87" s="5">
        <v>9</v>
      </c>
      <c r="AQ87" s="23">
        <v>9</v>
      </c>
      <c r="AT87" s="23"/>
      <c r="AY87" s="28">
        <v>35</v>
      </c>
      <c r="AZ87" s="5">
        <v>44</v>
      </c>
      <c r="BA87" s="5">
        <v>10</v>
      </c>
      <c r="BB87" s="5">
        <v>13.5</v>
      </c>
      <c r="BC87" s="23">
        <v>2.97</v>
      </c>
      <c r="BD87" s="5">
        <v>5.47</v>
      </c>
      <c r="BE87" s="5">
        <v>0.99</v>
      </c>
      <c r="BF87" s="5">
        <v>1.32</v>
      </c>
      <c r="BG87" s="5">
        <v>61.4</v>
      </c>
      <c r="BH87" s="5">
        <v>53</v>
      </c>
      <c r="BI87" s="5">
        <v>12.3</v>
      </c>
      <c r="BJ87" s="5">
        <v>11.4</v>
      </c>
      <c r="BK87" s="5">
        <v>121.7</v>
      </c>
      <c r="BL87" s="5">
        <v>150</v>
      </c>
      <c r="BM87" s="5">
        <v>17</v>
      </c>
      <c r="BN87" s="5">
        <v>13.6</v>
      </c>
      <c r="BO87" s="5">
        <v>5.0999999999999996</v>
      </c>
      <c r="BP87" s="5">
        <v>3.4</v>
      </c>
      <c r="BQ87" s="5">
        <v>11.9</v>
      </c>
      <c r="BR87" s="5">
        <v>10.199999999999999</v>
      </c>
      <c r="BS87" s="5">
        <v>52.4</v>
      </c>
      <c r="BT87" s="5">
        <v>30.2</v>
      </c>
      <c r="BU87" s="5">
        <v>48.2</v>
      </c>
      <c r="BV87" s="5">
        <v>22.3</v>
      </c>
      <c r="BW87" s="5">
        <v>5.9</v>
      </c>
      <c r="BX87" s="5">
        <v>5.9</v>
      </c>
    </row>
    <row r="88" spans="1:77" s="5" customFormat="1" x14ac:dyDescent="0.35">
      <c r="A88" s="5">
        <v>1</v>
      </c>
      <c r="B88" s="23" t="s">
        <v>614</v>
      </c>
      <c r="C88" s="5" t="s">
        <v>615</v>
      </c>
      <c r="D88" s="5">
        <v>86</v>
      </c>
      <c r="E88" s="23" t="s">
        <v>110</v>
      </c>
      <c r="F88" s="5" t="s">
        <v>616</v>
      </c>
      <c r="G88" s="5" t="s">
        <v>599</v>
      </c>
      <c r="H88" s="5" t="s">
        <v>82</v>
      </c>
      <c r="I88" s="5" t="s">
        <v>98</v>
      </c>
      <c r="J88" s="5" t="s">
        <v>617</v>
      </c>
      <c r="K88" s="5" t="s">
        <v>618</v>
      </c>
      <c r="M88" s="23"/>
      <c r="O88" s="23">
        <v>83</v>
      </c>
      <c r="P88" s="5">
        <v>90</v>
      </c>
      <c r="R88" s="5">
        <v>7</v>
      </c>
      <c r="S88" s="6">
        <v>44707</v>
      </c>
      <c r="T88" s="6">
        <v>44716</v>
      </c>
      <c r="U88" s="5">
        <v>9</v>
      </c>
      <c r="V88" s="25">
        <v>44716</v>
      </c>
      <c r="W88" s="5" t="s">
        <v>178</v>
      </c>
      <c r="Y88" s="5" t="s">
        <v>207</v>
      </c>
      <c r="Z88" s="5" t="s">
        <v>119</v>
      </c>
      <c r="AA88" s="5" t="s">
        <v>104</v>
      </c>
      <c r="AB88" s="5">
        <v>9</v>
      </c>
      <c r="AC88" s="5" t="s">
        <v>619</v>
      </c>
      <c r="AD88" s="28">
        <v>135</v>
      </c>
      <c r="AE88" s="5">
        <v>154</v>
      </c>
      <c r="AF88" s="5">
        <v>4.0999999999999996</v>
      </c>
      <c r="AG88" s="5">
        <v>29.3</v>
      </c>
      <c r="AH88" s="5">
        <v>12</v>
      </c>
      <c r="AI88" s="5">
        <v>6</v>
      </c>
      <c r="AJ88" s="5">
        <v>69</v>
      </c>
      <c r="AK88" s="5">
        <v>84</v>
      </c>
      <c r="AL88" s="5">
        <v>17</v>
      </c>
      <c r="AM88" s="5">
        <v>3</v>
      </c>
      <c r="AN88" s="5">
        <v>15</v>
      </c>
      <c r="AO88" s="5">
        <v>19</v>
      </c>
      <c r="AP88" s="5">
        <v>9</v>
      </c>
      <c r="AQ88" s="23">
        <v>18</v>
      </c>
      <c r="AT88" s="23"/>
      <c r="AU88" s="5">
        <v>484</v>
      </c>
      <c r="AV88" s="5">
        <v>2018.18</v>
      </c>
      <c r="AY88" s="28">
        <v>40</v>
      </c>
      <c r="AZ88" s="5">
        <v>48</v>
      </c>
      <c r="BA88" s="5">
        <v>11.8</v>
      </c>
      <c r="BB88" s="5">
        <v>13.9</v>
      </c>
      <c r="BC88" s="23">
        <v>3.97</v>
      </c>
      <c r="BD88" s="5">
        <v>3.76</v>
      </c>
      <c r="BE88" s="5">
        <v>1.05</v>
      </c>
      <c r="BF88" s="5">
        <v>1.33</v>
      </c>
      <c r="BG88" s="5">
        <v>70</v>
      </c>
      <c r="BH88" s="5">
        <v>68</v>
      </c>
      <c r="BI88" s="5">
        <v>10</v>
      </c>
      <c r="BJ88" s="5">
        <v>8.8000000000000007</v>
      </c>
      <c r="BK88" s="5">
        <v>98</v>
      </c>
      <c r="BL88" s="5">
        <v>100</v>
      </c>
      <c r="BM88" s="5">
        <v>15.6</v>
      </c>
      <c r="BN88" s="5">
        <v>13.6</v>
      </c>
      <c r="BO88" s="5">
        <v>5.0999999999999996</v>
      </c>
      <c r="BP88" s="5">
        <v>3.4</v>
      </c>
      <c r="BQ88" s="5">
        <v>11.9</v>
      </c>
      <c r="BR88" s="5">
        <v>10.199999999999999</v>
      </c>
      <c r="BS88" s="5">
        <v>32.6</v>
      </c>
      <c r="BT88" s="5">
        <v>120.6</v>
      </c>
      <c r="BU88" s="5">
        <v>30.2</v>
      </c>
      <c r="BV88" s="5">
        <v>67.5</v>
      </c>
      <c r="BW88" s="5">
        <v>4.0999999999999996</v>
      </c>
      <c r="BX88" s="5">
        <v>5.5</v>
      </c>
    </row>
    <row r="89" spans="1:77" s="5" customFormat="1" x14ac:dyDescent="0.35">
      <c r="A89" s="5">
        <v>1</v>
      </c>
      <c r="B89" s="23">
        <v>2022</v>
      </c>
      <c r="C89" s="5" t="s">
        <v>620</v>
      </c>
      <c r="D89" s="5">
        <v>79</v>
      </c>
      <c r="E89" s="23" t="s">
        <v>110</v>
      </c>
      <c r="F89" s="5" t="s">
        <v>621</v>
      </c>
      <c r="G89" s="5" t="s">
        <v>599</v>
      </c>
      <c r="H89" s="5" t="s">
        <v>82</v>
      </c>
      <c r="I89" s="5" t="s">
        <v>98</v>
      </c>
      <c r="J89" s="5" t="s">
        <v>622</v>
      </c>
      <c r="K89" s="5" t="s">
        <v>618</v>
      </c>
      <c r="M89" s="23"/>
      <c r="O89" s="23">
        <v>85</v>
      </c>
      <c r="P89" s="5">
        <v>94</v>
      </c>
      <c r="R89" s="5">
        <v>7</v>
      </c>
      <c r="S89" s="6">
        <v>44658</v>
      </c>
      <c r="T89" s="6">
        <v>44679</v>
      </c>
      <c r="U89" s="5">
        <v>21</v>
      </c>
      <c r="V89" s="25">
        <v>44680</v>
      </c>
      <c r="W89" s="5" t="s">
        <v>178</v>
      </c>
      <c r="X89" s="5" t="s">
        <v>286</v>
      </c>
      <c r="Y89" s="5" t="s">
        <v>623</v>
      </c>
      <c r="Z89" s="5" t="s">
        <v>356</v>
      </c>
      <c r="AA89" s="5" t="s">
        <v>380</v>
      </c>
      <c r="AB89" s="5">
        <v>21</v>
      </c>
      <c r="AC89" s="5" t="s">
        <v>624</v>
      </c>
      <c r="AD89" s="28">
        <v>136</v>
      </c>
      <c r="AE89" s="5">
        <v>132</v>
      </c>
      <c r="AF89" s="5">
        <v>7.1</v>
      </c>
      <c r="AG89" s="5">
        <v>15.2</v>
      </c>
      <c r="AH89" s="5">
        <v>32</v>
      </c>
      <c r="AI89" s="5">
        <v>13</v>
      </c>
      <c r="AJ89" s="5">
        <v>43</v>
      </c>
      <c r="AK89" s="5">
        <v>82</v>
      </c>
      <c r="AL89" s="5">
        <v>18</v>
      </c>
      <c r="AM89" s="5">
        <v>3</v>
      </c>
      <c r="AN89" s="5">
        <v>37</v>
      </c>
      <c r="AO89" s="5">
        <v>50</v>
      </c>
      <c r="AQ89" s="23">
        <v>6</v>
      </c>
      <c r="AT89" s="23"/>
      <c r="AY89" s="28">
        <v>36.4</v>
      </c>
      <c r="AZ89" s="5">
        <v>42</v>
      </c>
      <c r="BA89" s="5">
        <v>12.9</v>
      </c>
      <c r="BB89" s="5">
        <v>13.3</v>
      </c>
      <c r="BC89" s="23">
        <v>5.01</v>
      </c>
      <c r="BD89" s="5">
        <v>8.4700000000000006</v>
      </c>
      <c r="BE89" s="5">
        <v>1.24</v>
      </c>
      <c r="BF89" s="5">
        <v>1.27</v>
      </c>
      <c r="BG89" s="5">
        <v>63</v>
      </c>
      <c r="BH89" s="5">
        <v>58</v>
      </c>
      <c r="BI89" s="5">
        <v>5.3</v>
      </c>
      <c r="BJ89" s="5">
        <v>19.399999999999999</v>
      </c>
      <c r="BK89" s="5">
        <v>88</v>
      </c>
      <c r="BL89" s="5">
        <v>140</v>
      </c>
      <c r="BM89" s="5">
        <v>13.6</v>
      </c>
      <c r="BN89" s="5">
        <v>18.7</v>
      </c>
      <c r="BO89" s="5">
        <v>3.4</v>
      </c>
      <c r="BP89" s="5">
        <v>6.8</v>
      </c>
      <c r="BQ89" s="5">
        <v>8.5</v>
      </c>
      <c r="BR89" s="5">
        <v>11.9</v>
      </c>
      <c r="BS89" s="5">
        <v>52.4</v>
      </c>
      <c r="BT89" s="5">
        <v>90.4</v>
      </c>
      <c r="BU89" s="5">
        <v>42.2</v>
      </c>
      <c r="BV89" s="5">
        <v>37.4</v>
      </c>
      <c r="BW89" s="5">
        <v>9.1999999999999993</v>
      </c>
      <c r="BX89" s="5">
        <v>8.9</v>
      </c>
    </row>
    <row r="90" spans="1:77" s="5" customFormat="1" x14ac:dyDescent="0.35">
      <c r="A90" s="5">
        <v>1</v>
      </c>
      <c r="B90" s="23">
        <v>3352</v>
      </c>
      <c r="C90" s="5" t="s">
        <v>625</v>
      </c>
      <c r="D90" s="5">
        <v>74</v>
      </c>
      <c r="E90" s="23" t="s">
        <v>110</v>
      </c>
      <c r="F90" s="5" t="s">
        <v>626</v>
      </c>
      <c r="G90" s="5" t="s">
        <v>599</v>
      </c>
      <c r="H90" s="5" t="s">
        <v>82</v>
      </c>
      <c r="I90" s="5" t="s">
        <v>98</v>
      </c>
      <c r="J90" s="5" t="s">
        <v>622</v>
      </c>
      <c r="K90" s="5" t="s">
        <v>627</v>
      </c>
      <c r="M90" s="23"/>
      <c r="O90" s="23">
        <v>86</v>
      </c>
      <c r="P90" s="5">
        <v>92</v>
      </c>
      <c r="R90" s="5">
        <v>5</v>
      </c>
      <c r="S90" s="6">
        <v>44645</v>
      </c>
      <c r="T90" s="6">
        <v>44650</v>
      </c>
      <c r="U90" s="5">
        <v>5</v>
      </c>
      <c r="V90" s="25">
        <v>44650</v>
      </c>
      <c r="Z90" s="5" t="s">
        <v>356</v>
      </c>
      <c r="AA90" s="5" t="s">
        <v>171</v>
      </c>
      <c r="AB90" s="5">
        <v>5</v>
      </c>
      <c r="AD90" s="28">
        <v>119</v>
      </c>
      <c r="AF90" s="5">
        <v>16.8</v>
      </c>
      <c r="AH90" s="5">
        <v>23</v>
      </c>
      <c r="AJ90" s="5">
        <v>70</v>
      </c>
      <c r="AL90" s="5">
        <v>1</v>
      </c>
      <c r="AN90" s="5">
        <v>38</v>
      </c>
      <c r="AP90" s="5">
        <v>9</v>
      </c>
      <c r="AQ90" s="23"/>
      <c r="AT90" s="23"/>
      <c r="AY90" s="28">
        <v>39</v>
      </c>
      <c r="BA90" s="5">
        <v>9.5</v>
      </c>
      <c r="BC90" s="23">
        <v>6.64</v>
      </c>
      <c r="BE90" s="5">
        <v>0.94</v>
      </c>
      <c r="BG90" s="5">
        <v>57</v>
      </c>
      <c r="BI90" s="5">
        <v>5</v>
      </c>
      <c r="BK90" s="5">
        <v>77</v>
      </c>
      <c r="BM90" s="5">
        <v>11.9</v>
      </c>
      <c r="BO90" s="5">
        <v>3.4</v>
      </c>
      <c r="BQ90" s="5">
        <v>8.5</v>
      </c>
      <c r="BS90" s="5">
        <v>45.2</v>
      </c>
      <c r="BU90" s="5">
        <v>30.2</v>
      </c>
      <c r="BW90" s="5">
        <v>7.6</v>
      </c>
      <c r="BY90" s="5" t="s">
        <v>628</v>
      </c>
    </row>
    <row r="91" spans="1:77" s="5" customFormat="1" x14ac:dyDescent="0.35">
      <c r="A91" s="5">
        <v>1</v>
      </c>
      <c r="B91" s="23" t="s">
        <v>629</v>
      </c>
      <c r="C91" s="5" t="s">
        <v>630</v>
      </c>
      <c r="D91" s="5">
        <v>78</v>
      </c>
      <c r="E91" s="23" t="s">
        <v>110</v>
      </c>
      <c r="F91" s="5" t="s">
        <v>631</v>
      </c>
      <c r="G91" s="5" t="s">
        <v>599</v>
      </c>
      <c r="H91" s="5" t="s">
        <v>82</v>
      </c>
      <c r="I91" s="5" t="s">
        <v>98</v>
      </c>
      <c r="J91" s="5" t="s">
        <v>617</v>
      </c>
      <c r="K91" s="5" t="s">
        <v>632</v>
      </c>
      <c r="M91" s="23"/>
      <c r="O91" s="23">
        <v>86</v>
      </c>
      <c r="P91" s="5">
        <v>97</v>
      </c>
      <c r="R91" s="5">
        <v>3</v>
      </c>
      <c r="S91" s="6">
        <v>44672</v>
      </c>
      <c r="T91" s="6">
        <v>44687</v>
      </c>
      <c r="U91" s="5">
        <v>15</v>
      </c>
      <c r="V91" s="25">
        <v>44687</v>
      </c>
      <c r="Z91" s="5" t="s">
        <v>119</v>
      </c>
      <c r="AA91" s="5" t="s">
        <v>104</v>
      </c>
      <c r="AB91" s="5">
        <v>15</v>
      </c>
      <c r="AC91" s="5" t="s">
        <v>633</v>
      </c>
      <c r="AD91" s="28">
        <v>101</v>
      </c>
      <c r="AE91" s="5">
        <v>115</v>
      </c>
      <c r="AF91" s="5">
        <v>4.2</v>
      </c>
      <c r="AG91" s="5">
        <v>8.8000000000000007</v>
      </c>
      <c r="AH91" s="5">
        <v>14</v>
      </c>
      <c r="AI91" s="5">
        <v>8</v>
      </c>
      <c r="AJ91" s="5">
        <v>73</v>
      </c>
      <c r="AK91" s="5">
        <v>77</v>
      </c>
      <c r="AL91" s="5">
        <v>11</v>
      </c>
      <c r="AM91" s="5">
        <v>6</v>
      </c>
      <c r="AN91" s="5">
        <v>65</v>
      </c>
      <c r="AO91" s="5">
        <v>46</v>
      </c>
      <c r="AP91" s="5">
        <v>12</v>
      </c>
      <c r="AQ91" s="23"/>
      <c r="AT91" s="23"/>
      <c r="AU91" s="12">
        <v>1015.32</v>
      </c>
      <c r="AY91" s="28">
        <v>35</v>
      </c>
      <c r="AZ91" s="5">
        <v>35</v>
      </c>
      <c r="BA91" s="5">
        <v>11.8</v>
      </c>
      <c r="BB91" s="5">
        <v>14.6</v>
      </c>
      <c r="BC91" s="23">
        <v>6.46</v>
      </c>
      <c r="BD91" s="5">
        <v>2.68</v>
      </c>
      <c r="BE91" s="5">
        <v>1.1399999999999999</v>
      </c>
      <c r="BF91" s="5">
        <v>1.39</v>
      </c>
      <c r="BG91" s="5">
        <v>69</v>
      </c>
      <c r="BI91" s="5">
        <v>10.7</v>
      </c>
      <c r="BK91" s="5">
        <v>167</v>
      </c>
      <c r="BM91" s="5">
        <v>11.9</v>
      </c>
      <c r="BO91" s="5">
        <v>3.4</v>
      </c>
      <c r="BQ91" s="5">
        <v>8.5</v>
      </c>
      <c r="BS91" s="5">
        <v>45.2</v>
      </c>
      <c r="BU91" s="5">
        <v>24.1</v>
      </c>
      <c r="BW91" s="5">
        <v>11.2</v>
      </c>
      <c r="BY91" s="5" t="s">
        <v>634</v>
      </c>
    </row>
    <row r="92" spans="1:77" s="5" customFormat="1" x14ac:dyDescent="0.35">
      <c r="A92" s="5">
        <v>1</v>
      </c>
      <c r="B92" s="23">
        <v>3232</v>
      </c>
      <c r="C92" s="5" t="s">
        <v>635</v>
      </c>
      <c r="D92" s="5">
        <v>52</v>
      </c>
      <c r="E92" s="23" t="s">
        <v>110</v>
      </c>
      <c r="F92" s="5" t="s">
        <v>636</v>
      </c>
      <c r="G92" s="5" t="s">
        <v>373</v>
      </c>
      <c r="H92" s="5" t="s">
        <v>82</v>
      </c>
      <c r="I92" s="5" t="s">
        <v>98</v>
      </c>
      <c r="J92" s="5" t="s">
        <v>428</v>
      </c>
      <c r="K92" s="5" t="s">
        <v>637</v>
      </c>
      <c r="M92" s="23"/>
      <c r="O92" s="23">
        <v>75</v>
      </c>
      <c r="P92" s="5">
        <v>92</v>
      </c>
      <c r="R92" s="5">
        <v>10</v>
      </c>
      <c r="S92" s="6">
        <v>44545</v>
      </c>
      <c r="T92" s="6">
        <v>44567</v>
      </c>
      <c r="U92" s="5">
        <v>22</v>
      </c>
      <c r="V92" s="25">
        <v>44202</v>
      </c>
      <c r="W92" s="5" t="s">
        <v>408</v>
      </c>
      <c r="X92" s="5" t="s">
        <v>190</v>
      </c>
      <c r="Z92" s="5" t="s">
        <v>147</v>
      </c>
      <c r="AA92" s="5" t="s">
        <v>91</v>
      </c>
      <c r="AB92" s="5">
        <v>22</v>
      </c>
      <c r="AC92" s="9" t="s">
        <v>437</v>
      </c>
      <c r="AD92" s="28">
        <v>130</v>
      </c>
      <c r="AE92" s="5">
        <v>104</v>
      </c>
      <c r="AF92" s="5">
        <v>12</v>
      </c>
      <c r="AG92" s="5">
        <v>4</v>
      </c>
      <c r="AH92" s="5">
        <v>14</v>
      </c>
      <c r="AI92" s="5">
        <v>29</v>
      </c>
      <c r="AJ92" s="5">
        <v>76</v>
      </c>
      <c r="AK92" s="5">
        <v>62</v>
      </c>
      <c r="AL92" s="5">
        <v>5</v>
      </c>
      <c r="AM92" s="5">
        <v>5</v>
      </c>
      <c r="AN92" s="5">
        <v>37</v>
      </c>
      <c r="AO92" s="5">
        <v>6</v>
      </c>
      <c r="AP92" s="5">
        <v>12</v>
      </c>
      <c r="AQ92" s="23">
        <v>6</v>
      </c>
      <c r="AT92" s="23"/>
      <c r="AU92" s="5">
        <v>10000</v>
      </c>
      <c r="AX92" s="5" t="s">
        <v>410</v>
      </c>
      <c r="AY92" s="28">
        <v>33</v>
      </c>
      <c r="AZ92" s="5">
        <v>31</v>
      </c>
      <c r="BA92" s="5">
        <v>10.6</v>
      </c>
      <c r="BB92" s="5">
        <v>13.9</v>
      </c>
      <c r="BC92" s="23">
        <v>3</v>
      </c>
      <c r="BD92" s="5">
        <v>2.59</v>
      </c>
      <c r="BE92" s="5">
        <v>1.23</v>
      </c>
      <c r="BF92" s="5">
        <v>1.03</v>
      </c>
      <c r="BG92" s="5" t="s">
        <v>638</v>
      </c>
      <c r="BH92" s="5" t="s">
        <v>639</v>
      </c>
      <c r="BI92" s="5">
        <v>13.7</v>
      </c>
      <c r="BJ92" s="5">
        <v>5.5</v>
      </c>
      <c r="BK92" s="5" t="s">
        <v>640</v>
      </c>
      <c r="BL92" s="5">
        <v>89</v>
      </c>
      <c r="BM92" s="5">
        <v>13.6</v>
      </c>
      <c r="BN92" s="5">
        <v>15.3</v>
      </c>
      <c r="BO92" s="5">
        <v>5.0999999999999996</v>
      </c>
      <c r="BP92" s="5">
        <v>5.0999999999999996</v>
      </c>
      <c r="BQ92" s="5">
        <v>8.5</v>
      </c>
      <c r="BR92" s="5">
        <v>10.199999999999999</v>
      </c>
      <c r="BS92" s="5">
        <v>30.2</v>
      </c>
      <c r="BT92" s="5" t="s">
        <v>641</v>
      </c>
      <c r="BU92" s="5">
        <v>67.5</v>
      </c>
      <c r="BV92" s="5">
        <v>60.4</v>
      </c>
      <c r="BW92" s="5">
        <v>5.7</v>
      </c>
      <c r="BX92" s="5">
        <v>5.8</v>
      </c>
    </row>
    <row r="93" spans="1:77" s="5" customFormat="1" x14ac:dyDescent="0.35">
      <c r="A93" s="5">
        <v>1</v>
      </c>
      <c r="B93" s="23">
        <v>2215</v>
      </c>
      <c r="C93" s="5" t="s">
        <v>642</v>
      </c>
      <c r="D93" s="5">
        <v>75</v>
      </c>
      <c r="E93" s="23" t="s">
        <v>110</v>
      </c>
      <c r="F93" s="5" t="s">
        <v>643</v>
      </c>
      <c r="G93" s="5" t="s">
        <v>373</v>
      </c>
      <c r="H93" s="5" t="s">
        <v>82</v>
      </c>
      <c r="I93" s="5" t="s">
        <v>98</v>
      </c>
      <c r="J93" s="5" t="s">
        <v>428</v>
      </c>
      <c r="K93" s="5" t="s">
        <v>644</v>
      </c>
      <c r="M93" s="23"/>
      <c r="O93" s="23">
        <v>78</v>
      </c>
      <c r="P93" s="5">
        <v>92</v>
      </c>
      <c r="R93" s="5">
        <v>12</v>
      </c>
      <c r="S93" s="6">
        <v>44593</v>
      </c>
      <c r="T93" s="6">
        <v>44601</v>
      </c>
      <c r="U93" s="5">
        <v>8</v>
      </c>
      <c r="V93" s="25">
        <v>44602</v>
      </c>
      <c r="W93" s="5" t="s">
        <v>195</v>
      </c>
      <c r="X93" s="5" t="s">
        <v>645</v>
      </c>
      <c r="Z93" s="5" t="s">
        <v>646</v>
      </c>
      <c r="AA93" s="5" t="s">
        <v>647</v>
      </c>
      <c r="AB93" s="5">
        <v>8</v>
      </c>
      <c r="AC93" s="9" t="s">
        <v>437</v>
      </c>
      <c r="AD93" s="28">
        <v>132</v>
      </c>
      <c r="AE93" s="5">
        <v>135</v>
      </c>
      <c r="AF93" s="5">
        <v>17.5</v>
      </c>
      <c r="AG93" s="11">
        <v>18.2</v>
      </c>
      <c r="AH93" s="5">
        <v>12</v>
      </c>
      <c r="AI93" s="5">
        <v>3</v>
      </c>
      <c r="AJ93" s="5">
        <v>18</v>
      </c>
      <c r="AK93" s="5">
        <v>16</v>
      </c>
      <c r="AL93" s="5">
        <v>6</v>
      </c>
      <c r="AM93" s="5">
        <v>6</v>
      </c>
      <c r="AN93" s="5">
        <v>15</v>
      </c>
      <c r="AO93" s="5">
        <v>16</v>
      </c>
      <c r="AP93" s="5">
        <v>16</v>
      </c>
      <c r="AQ93" s="23">
        <v>12</v>
      </c>
      <c r="AT93" s="23"/>
      <c r="AU93" s="5">
        <v>10000</v>
      </c>
      <c r="AX93" s="5" t="s">
        <v>410</v>
      </c>
      <c r="AY93" s="28">
        <v>40</v>
      </c>
      <c r="AZ93" s="5">
        <v>50</v>
      </c>
      <c r="BA93" s="5">
        <v>11.7</v>
      </c>
      <c r="BB93" s="5">
        <v>14</v>
      </c>
      <c r="BC93" s="23">
        <v>5.2</v>
      </c>
      <c r="BD93" s="5">
        <v>3</v>
      </c>
      <c r="BE93" s="5">
        <v>1.33</v>
      </c>
      <c r="BF93" s="5">
        <v>1.1299999999999999</v>
      </c>
      <c r="BG93" s="5" t="s">
        <v>648</v>
      </c>
      <c r="BH93" s="5">
        <v>60</v>
      </c>
      <c r="BI93" s="5" t="s">
        <v>649</v>
      </c>
      <c r="BJ93" s="5">
        <v>4.5999999999999996</v>
      </c>
      <c r="BK93" s="5">
        <v>123.9</v>
      </c>
      <c r="BL93" s="5">
        <v>73</v>
      </c>
      <c r="BM93" s="5">
        <v>13.6</v>
      </c>
      <c r="BN93" s="5">
        <v>13.6</v>
      </c>
      <c r="BO93" s="5">
        <v>5.0999999999999996</v>
      </c>
      <c r="BP93" s="5">
        <v>3.4</v>
      </c>
      <c r="BQ93" s="5">
        <v>8.5</v>
      </c>
      <c r="BR93" s="5">
        <v>3.4</v>
      </c>
      <c r="BS93" s="5">
        <v>75.400000000000006</v>
      </c>
      <c r="BT93" s="5">
        <v>60.3</v>
      </c>
      <c r="BU93" s="5">
        <v>36.4</v>
      </c>
      <c r="BV93" s="5">
        <v>48.2</v>
      </c>
      <c r="BW93" s="5">
        <v>9.6</v>
      </c>
      <c r="BX93" s="5">
        <v>4.7</v>
      </c>
    </row>
    <row r="94" spans="1:77" s="5" customFormat="1" x14ac:dyDescent="0.35">
      <c r="A94" s="5">
        <v>1</v>
      </c>
      <c r="B94" s="23">
        <v>566</v>
      </c>
      <c r="C94" s="5" t="s">
        <v>650</v>
      </c>
      <c r="D94" s="5">
        <v>70</v>
      </c>
      <c r="E94" s="23" t="s">
        <v>79</v>
      </c>
      <c r="F94" s="5" t="s">
        <v>651</v>
      </c>
      <c r="G94" s="5" t="s">
        <v>373</v>
      </c>
      <c r="H94" s="5" t="s">
        <v>82</v>
      </c>
      <c r="I94" s="5" t="s">
        <v>98</v>
      </c>
      <c r="J94" s="5" t="s">
        <v>652</v>
      </c>
      <c r="K94" s="5" t="s">
        <v>653</v>
      </c>
      <c r="M94" s="23"/>
      <c r="O94" s="23">
        <v>88</v>
      </c>
      <c r="P94" s="5">
        <v>94</v>
      </c>
      <c r="R94" s="5">
        <v>4</v>
      </c>
      <c r="S94" s="6">
        <v>44576</v>
      </c>
      <c r="T94" s="6">
        <v>44579</v>
      </c>
      <c r="U94" s="5">
        <v>3</v>
      </c>
      <c r="V94" s="25">
        <v>44580</v>
      </c>
      <c r="W94" s="6"/>
      <c r="X94" s="5" t="s">
        <v>654</v>
      </c>
      <c r="Z94" s="5" t="s">
        <v>329</v>
      </c>
      <c r="AA94" s="5" t="s">
        <v>329</v>
      </c>
      <c r="AB94" s="5">
        <v>3</v>
      </c>
      <c r="AC94" s="5" t="s">
        <v>655</v>
      </c>
      <c r="AD94" s="28">
        <v>98</v>
      </c>
      <c r="AF94" s="5" t="s">
        <v>656</v>
      </c>
      <c r="AH94" s="5">
        <v>5</v>
      </c>
      <c r="AJ94" s="5">
        <v>88</v>
      </c>
      <c r="AL94" s="5">
        <v>6</v>
      </c>
      <c r="AN94" s="5">
        <v>20</v>
      </c>
      <c r="AP94" s="5">
        <v>18</v>
      </c>
      <c r="AQ94" s="23"/>
      <c r="AR94" s="8"/>
      <c r="AT94" s="26"/>
      <c r="AV94" s="8"/>
      <c r="AX94" s="8"/>
      <c r="AY94" s="28">
        <v>34</v>
      </c>
      <c r="BA94" s="5">
        <v>7.9</v>
      </c>
      <c r="BB94" s="8"/>
      <c r="BC94" s="23">
        <v>5.5</v>
      </c>
      <c r="BD94" s="8"/>
      <c r="BE94" s="5">
        <v>0.8</v>
      </c>
      <c r="BG94" s="5">
        <v>64.5</v>
      </c>
      <c r="BI94" s="5">
        <v>26.3</v>
      </c>
      <c r="BK94" s="5">
        <v>139</v>
      </c>
      <c r="BS94" s="5">
        <v>43</v>
      </c>
      <c r="BU94" s="5">
        <v>35.4</v>
      </c>
      <c r="BW94" s="5">
        <v>6.6</v>
      </c>
    </row>
    <row r="95" spans="1:77" s="5" customFormat="1" x14ac:dyDescent="0.35">
      <c r="A95" s="5">
        <v>1</v>
      </c>
      <c r="B95" s="23">
        <v>1677</v>
      </c>
      <c r="C95" s="5" t="s">
        <v>657</v>
      </c>
      <c r="D95" s="5">
        <v>77</v>
      </c>
      <c r="E95" s="23" t="s">
        <v>110</v>
      </c>
      <c r="F95" s="5" t="s">
        <v>658</v>
      </c>
      <c r="G95" s="5" t="s">
        <v>373</v>
      </c>
      <c r="H95" s="5" t="s">
        <v>82</v>
      </c>
      <c r="I95" s="5" t="s">
        <v>98</v>
      </c>
      <c r="J95" s="5" t="s">
        <v>659</v>
      </c>
      <c r="K95" s="5" t="s">
        <v>637</v>
      </c>
      <c r="M95" s="23"/>
      <c r="O95" s="23">
        <v>83</v>
      </c>
      <c r="P95" s="5">
        <v>94</v>
      </c>
      <c r="R95" s="5">
        <v>7</v>
      </c>
      <c r="S95" s="6">
        <v>44609</v>
      </c>
      <c r="T95" s="6">
        <v>44616</v>
      </c>
      <c r="U95" s="5">
        <v>7</v>
      </c>
      <c r="V95" s="25">
        <v>44616</v>
      </c>
      <c r="W95" s="5" t="s">
        <v>195</v>
      </c>
      <c r="Z95" s="5" t="s">
        <v>91</v>
      </c>
      <c r="AA95" s="5" t="s">
        <v>104</v>
      </c>
      <c r="AB95" s="5">
        <v>7</v>
      </c>
      <c r="AC95" s="9" t="s">
        <v>437</v>
      </c>
      <c r="AD95" s="28">
        <v>128</v>
      </c>
      <c r="AF95" s="5">
        <v>11.3</v>
      </c>
      <c r="AG95" s="8"/>
      <c r="AH95" s="5">
        <v>6</v>
      </c>
      <c r="AJ95" s="5">
        <v>86</v>
      </c>
      <c r="AL95" s="5">
        <v>5</v>
      </c>
      <c r="AN95" s="5">
        <v>54</v>
      </c>
      <c r="AP95" s="5">
        <v>15</v>
      </c>
      <c r="AQ95" s="23"/>
      <c r="AT95" s="23"/>
      <c r="AY95" s="28">
        <v>35</v>
      </c>
      <c r="BA95" s="5">
        <v>13.2</v>
      </c>
      <c r="BC95" s="23">
        <v>5.99</v>
      </c>
      <c r="BE95" s="5">
        <v>1.29</v>
      </c>
      <c r="BG95" s="5">
        <v>74</v>
      </c>
      <c r="BI95" s="5">
        <v>9.6</v>
      </c>
      <c r="BK95" s="5">
        <v>89</v>
      </c>
      <c r="BM95" s="5">
        <v>18.7</v>
      </c>
      <c r="BO95" s="5">
        <v>6.8</v>
      </c>
      <c r="BQ95" s="5">
        <v>11.1</v>
      </c>
      <c r="BS95" s="5">
        <v>22.3</v>
      </c>
      <c r="BU95" s="5">
        <v>24.1</v>
      </c>
      <c r="BW95" s="5">
        <v>13.4</v>
      </c>
    </row>
    <row r="96" spans="1:77" s="5" customFormat="1" x14ac:dyDescent="0.35">
      <c r="A96" s="5">
        <v>1</v>
      </c>
      <c r="B96" s="23">
        <v>1805</v>
      </c>
      <c r="C96" s="5" t="s">
        <v>660</v>
      </c>
      <c r="D96" s="5">
        <v>66</v>
      </c>
      <c r="E96" s="23" t="s">
        <v>110</v>
      </c>
      <c r="F96" s="5" t="s">
        <v>661</v>
      </c>
      <c r="G96" s="5" t="s">
        <v>373</v>
      </c>
      <c r="H96" s="5" t="s">
        <v>82</v>
      </c>
      <c r="I96" s="5" t="s">
        <v>98</v>
      </c>
      <c r="J96" s="5" t="s">
        <v>428</v>
      </c>
      <c r="K96" s="5" t="s">
        <v>662</v>
      </c>
      <c r="M96" s="23"/>
      <c r="O96" s="23">
        <v>84</v>
      </c>
      <c r="P96" s="5">
        <v>92</v>
      </c>
      <c r="R96" s="5">
        <v>5</v>
      </c>
      <c r="S96" s="6">
        <v>44592</v>
      </c>
      <c r="T96" s="6">
        <v>44609</v>
      </c>
      <c r="U96" s="5">
        <v>17</v>
      </c>
      <c r="V96" s="25">
        <v>44610</v>
      </c>
      <c r="W96" s="5" t="s">
        <v>408</v>
      </c>
      <c r="Z96" s="5" t="s">
        <v>170</v>
      </c>
      <c r="AA96" s="5" t="s">
        <v>104</v>
      </c>
      <c r="AB96" s="5">
        <v>17</v>
      </c>
      <c r="AC96" s="5" t="s">
        <v>388</v>
      </c>
      <c r="AD96" s="28">
        <v>126</v>
      </c>
      <c r="AE96" s="5">
        <v>144</v>
      </c>
      <c r="AF96" s="5">
        <v>9.6999999999999993</v>
      </c>
      <c r="AG96" s="5">
        <v>22.9</v>
      </c>
      <c r="AH96" s="5">
        <v>17</v>
      </c>
      <c r="AI96" s="5">
        <v>9</v>
      </c>
      <c r="AJ96" s="5">
        <v>71</v>
      </c>
      <c r="AK96" s="5">
        <v>90</v>
      </c>
      <c r="AL96" s="5">
        <v>6</v>
      </c>
      <c r="AM96" s="5">
        <v>1</v>
      </c>
      <c r="AN96" s="5">
        <v>49</v>
      </c>
      <c r="AO96" s="5">
        <v>7</v>
      </c>
      <c r="AP96" s="5">
        <v>18</v>
      </c>
      <c r="AQ96" s="23">
        <v>12</v>
      </c>
      <c r="AT96" s="23"/>
      <c r="AY96" s="28">
        <v>38</v>
      </c>
      <c r="AZ96" s="5">
        <v>40</v>
      </c>
      <c r="BA96" s="5">
        <v>13.5</v>
      </c>
      <c r="BB96" s="5">
        <v>11.8</v>
      </c>
      <c r="BC96" s="23">
        <v>5.0199999999999996</v>
      </c>
      <c r="BD96" s="5">
        <v>3.75</v>
      </c>
      <c r="BE96" s="5">
        <v>1.29</v>
      </c>
      <c r="BF96" s="5">
        <v>1.1499999999999999</v>
      </c>
      <c r="BG96" s="5">
        <v>70.400000000000006</v>
      </c>
      <c r="BH96" s="5">
        <v>63</v>
      </c>
      <c r="BI96" s="5">
        <v>6.3</v>
      </c>
      <c r="BJ96" s="5">
        <v>5</v>
      </c>
      <c r="BK96" s="5">
        <v>111.8</v>
      </c>
      <c r="BL96" s="5">
        <v>71</v>
      </c>
      <c r="BM96" s="5">
        <v>18.7</v>
      </c>
      <c r="BO96" s="5">
        <v>6.8</v>
      </c>
      <c r="BQ96" s="5">
        <v>11.9</v>
      </c>
      <c r="BS96" s="5">
        <v>17.579999999999998</v>
      </c>
      <c r="BT96" s="5">
        <v>52.4</v>
      </c>
      <c r="BU96" s="5">
        <v>47.88</v>
      </c>
      <c r="BV96" s="5">
        <v>45.2</v>
      </c>
      <c r="BW96" s="5">
        <v>10.199999999999999</v>
      </c>
      <c r="BX96" s="5">
        <v>7.4</v>
      </c>
    </row>
    <row r="97" spans="1:77" s="5" customFormat="1" x14ac:dyDescent="0.35">
      <c r="A97" s="5">
        <v>1</v>
      </c>
      <c r="B97" s="23">
        <v>2298</v>
      </c>
      <c r="C97" s="5" t="s">
        <v>663</v>
      </c>
      <c r="D97" s="5">
        <v>68</v>
      </c>
      <c r="E97" s="23" t="s">
        <v>110</v>
      </c>
      <c r="F97" s="5" t="s">
        <v>664</v>
      </c>
      <c r="G97" s="5" t="s">
        <v>373</v>
      </c>
      <c r="H97" s="5" t="s">
        <v>82</v>
      </c>
      <c r="I97" s="5" t="s">
        <v>98</v>
      </c>
      <c r="J97" s="5" t="s">
        <v>428</v>
      </c>
      <c r="K97" s="5" t="s">
        <v>662</v>
      </c>
      <c r="M97" s="23"/>
      <c r="O97" s="23">
        <v>82</v>
      </c>
      <c r="P97" s="5">
        <v>98</v>
      </c>
      <c r="R97" s="5">
        <v>10</v>
      </c>
      <c r="S97" s="6">
        <v>44698</v>
      </c>
      <c r="T97" s="6">
        <v>44718</v>
      </c>
      <c r="U97" s="5">
        <v>20</v>
      </c>
      <c r="V97" s="25">
        <v>44719</v>
      </c>
      <c r="W97" s="5" t="s">
        <v>408</v>
      </c>
      <c r="Y97" s="5" t="s">
        <v>286</v>
      </c>
      <c r="Z97" s="5" t="s">
        <v>104</v>
      </c>
      <c r="AA97" s="5" t="s">
        <v>104</v>
      </c>
      <c r="AB97" s="5">
        <v>20</v>
      </c>
      <c r="AC97" s="5" t="s">
        <v>388</v>
      </c>
      <c r="AD97" s="28">
        <v>120</v>
      </c>
      <c r="AE97" s="5">
        <v>125</v>
      </c>
      <c r="AF97" s="5">
        <v>7.3</v>
      </c>
      <c r="AG97" s="5">
        <v>19.399999999999999</v>
      </c>
      <c r="AH97" s="5">
        <v>15</v>
      </c>
      <c r="AI97" s="5">
        <v>14</v>
      </c>
      <c r="AJ97" s="5">
        <v>79</v>
      </c>
      <c r="AK97" s="5">
        <v>81</v>
      </c>
      <c r="AL97" s="5">
        <v>4</v>
      </c>
      <c r="AM97" s="5">
        <v>2</v>
      </c>
      <c r="AN97" s="5">
        <v>52</v>
      </c>
      <c r="AO97" s="5">
        <v>44</v>
      </c>
      <c r="AP97" s="5">
        <v>18</v>
      </c>
      <c r="AQ97" s="23">
        <v>12</v>
      </c>
      <c r="AT97" s="23"/>
      <c r="AU97" s="5">
        <v>4148</v>
      </c>
      <c r="AV97" s="5">
        <v>1800</v>
      </c>
      <c r="AX97" s="5" t="s">
        <v>410</v>
      </c>
      <c r="AY97" s="28">
        <v>36</v>
      </c>
      <c r="AZ97" s="5">
        <v>38</v>
      </c>
      <c r="BA97" s="5">
        <v>13.2</v>
      </c>
      <c r="BB97" s="5">
        <v>13</v>
      </c>
      <c r="BC97" s="23">
        <v>6</v>
      </c>
      <c r="BD97" s="5">
        <v>6.7</v>
      </c>
      <c r="BE97" s="5">
        <v>1.26</v>
      </c>
      <c r="BF97" s="5">
        <v>1.31</v>
      </c>
      <c r="BG97" s="5">
        <v>60</v>
      </c>
      <c r="BH97" s="5">
        <v>57</v>
      </c>
      <c r="BI97" s="5">
        <v>8</v>
      </c>
      <c r="BJ97" s="5">
        <v>8</v>
      </c>
      <c r="BK97" s="5">
        <v>107</v>
      </c>
      <c r="BL97" s="5">
        <v>114</v>
      </c>
      <c r="BM97" s="5">
        <v>13.6</v>
      </c>
      <c r="BN97" s="5">
        <v>15.3</v>
      </c>
      <c r="BO97" s="5">
        <v>3.4</v>
      </c>
      <c r="BP97" s="5">
        <v>5.0999999999999996</v>
      </c>
      <c r="BQ97" s="5">
        <v>10.199999999999999</v>
      </c>
      <c r="BR97" s="5">
        <v>10.199999999999999</v>
      </c>
      <c r="BS97" s="5">
        <v>24.1</v>
      </c>
      <c r="BT97" s="5">
        <v>60.4</v>
      </c>
      <c r="BU97" s="5">
        <v>18.100000000000001</v>
      </c>
      <c r="BV97" s="5">
        <v>45.5</v>
      </c>
      <c r="BW97" s="5">
        <v>13</v>
      </c>
      <c r="BX97" s="5">
        <v>7.4</v>
      </c>
      <c r="BY97" s="5" t="s">
        <v>665</v>
      </c>
    </row>
    <row r="98" spans="1:77" s="5" customFormat="1" x14ac:dyDescent="0.35">
      <c r="A98" s="5">
        <v>1</v>
      </c>
      <c r="B98" s="23">
        <v>1471</v>
      </c>
      <c r="C98" s="5" t="s">
        <v>666</v>
      </c>
      <c r="D98" s="5">
        <v>62</v>
      </c>
      <c r="E98" s="23" t="s">
        <v>79</v>
      </c>
      <c r="F98" s="5" t="s">
        <v>667</v>
      </c>
      <c r="G98" s="5" t="s">
        <v>373</v>
      </c>
      <c r="H98" s="5" t="s">
        <v>82</v>
      </c>
      <c r="I98" s="5" t="s">
        <v>98</v>
      </c>
      <c r="J98" s="5" t="s">
        <v>668</v>
      </c>
      <c r="K98" s="5" t="s">
        <v>669</v>
      </c>
      <c r="M98" s="23"/>
      <c r="O98" s="23">
        <v>83</v>
      </c>
      <c r="P98" s="5">
        <v>98</v>
      </c>
      <c r="R98" s="5">
        <v>5</v>
      </c>
      <c r="S98" s="6">
        <v>44693</v>
      </c>
      <c r="T98" s="6">
        <v>44703</v>
      </c>
      <c r="U98" s="5">
        <v>10</v>
      </c>
      <c r="V98" s="25">
        <v>44703</v>
      </c>
      <c r="X98" s="5" t="s">
        <v>416</v>
      </c>
      <c r="Y98" s="5" t="s">
        <v>190</v>
      </c>
      <c r="Z98" s="5" t="s">
        <v>91</v>
      </c>
      <c r="AA98" s="5" t="s">
        <v>104</v>
      </c>
      <c r="AB98" s="5">
        <v>10</v>
      </c>
      <c r="AC98" s="5" t="s">
        <v>670</v>
      </c>
      <c r="AD98" s="28">
        <v>136</v>
      </c>
      <c r="AE98" s="5">
        <v>138</v>
      </c>
      <c r="AF98" s="5">
        <v>4.0999999999999996</v>
      </c>
      <c r="AG98" s="5">
        <v>7</v>
      </c>
      <c r="AH98" s="5">
        <v>27</v>
      </c>
      <c r="AI98" s="5">
        <v>7</v>
      </c>
      <c r="AJ98" s="5">
        <v>61</v>
      </c>
      <c r="AK98" s="5">
        <v>69</v>
      </c>
      <c r="AL98" s="5">
        <v>10</v>
      </c>
      <c r="AM98" s="5">
        <v>15</v>
      </c>
      <c r="AN98" s="5">
        <v>11</v>
      </c>
      <c r="AO98" s="5">
        <v>16</v>
      </c>
      <c r="AP98" s="5">
        <v>6</v>
      </c>
      <c r="AQ98" s="23">
        <v>6</v>
      </c>
      <c r="AR98" s="5">
        <v>5.33</v>
      </c>
      <c r="AT98" s="23"/>
      <c r="AU98" s="5">
        <v>10000</v>
      </c>
      <c r="AV98" s="5">
        <v>3935</v>
      </c>
      <c r="AX98" s="5" t="s">
        <v>410</v>
      </c>
      <c r="AY98" s="28">
        <v>41</v>
      </c>
      <c r="AZ98" s="5">
        <v>42</v>
      </c>
      <c r="BA98" s="5">
        <v>12.2</v>
      </c>
      <c r="BB98" s="5">
        <v>15.1</v>
      </c>
      <c r="BC98" s="23">
        <v>2.97</v>
      </c>
      <c r="BD98" s="5">
        <v>2.52</v>
      </c>
      <c r="BE98" s="5">
        <v>1.18</v>
      </c>
      <c r="BF98" s="5">
        <v>1.43</v>
      </c>
      <c r="BG98" s="5">
        <v>78</v>
      </c>
      <c r="BH98" s="5">
        <v>63</v>
      </c>
      <c r="BI98" s="5">
        <v>5</v>
      </c>
      <c r="BJ98" s="5">
        <v>11.4</v>
      </c>
      <c r="BK98" s="5">
        <v>78</v>
      </c>
      <c r="BL98" s="5">
        <v>150</v>
      </c>
      <c r="BM98" s="5">
        <v>11.9</v>
      </c>
      <c r="BN98" s="5">
        <v>17</v>
      </c>
      <c r="BO98" s="5">
        <v>3.4</v>
      </c>
      <c r="BP98" s="5">
        <v>5.0999999999999996</v>
      </c>
      <c r="BQ98" s="5">
        <v>8.5</v>
      </c>
      <c r="BR98" s="5">
        <v>11.9</v>
      </c>
      <c r="BS98" s="5">
        <v>30.2</v>
      </c>
      <c r="BT98" s="5">
        <v>75.400000000000006</v>
      </c>
      <c r="BU98" s="5">
        <v>18.100000000000001</v>
      </c>
      <c r="BV98" s="5">
        <v>48.2</v>
      </c>
      <c r="BW98" s="5">
        <v>6</v>
      </c>
      <c r="BX98" s="5">
        <v>9.8000000000000007</v>
      </c>
      <c r="BY98" s="5" t="s">
        <v>671</v>
      </c>
    </row>
    <row r="99" spans="1:77" s="5" customFormat="1" x14ac:dyDescent="0.35">
      <c r="A99" s="5">
        <v>1</v>
      </c>
      <c r="B99" s="23">
        <v>2105</v>
      </c>
      <c r="C99" s="5" t="s">
        <v>672</v>
      </c>
      <c r="D99" s="5">
        <v>47</v>
      </c>
      <c r="E99" s="23" t="s">
        <v>79</v>
      </c>
      <c r="F99" s="5" t="s">
        <v>673</v>
      </c>
      <c r="G99" s="5" t="s">
        <v>373</v>
      </c>
      <c r="H99" s="5" t="s">
        <v>82</v>
      </c>
      <c r="I99" s="5" t="s">
        <v>98</v>
      </c>
      <c r="J99" s="5" t="s">
        <v>668</v>
      </c>
      <c r="K99" s="5" t="s">
        <v>674</v>
      </c>
      <c r="L99" s="7">
        <v>0.35</v>
      </c>
      <c r="M99" s="23" t="s">
        <v>101</v>
      </c>
      <c r="O99" s="23">
        <v>78</v>
      </c>
      <c r="P99" s="5">
        <v>96</v>
      </c>
      <c r="R99" s="5">
        <v>7</v>
      </c>
      <c r="S99" s="6">
        <v>44694</v>
      </c>
      <c r="T99" s="6">
        <v>44710</v>
      </c>
      <c r="U99" s="5">
        <v>16</v>
      </c>
      <c r="V99" s="25">
        <v>44710</v>
      </c>
      <c r="X99" s="5" t="s">
        <v>416</v>
      </c>
      <c r="Y99" s="5" t="s">
        <v>286</v>
      </c>
      <c r="Z99" s="5" t="s">
        <v>104</v>
      </c>
      <c r="AA99" s="5" t="s">
        <v>104</v>
      </c>
      <c r="AB99" s="5">
        <v>16</v>
      </c>
      <c r="AC99" s="5" t="s">
        <v>388</v>
      </c>
      <c r="AD99" s="28">
        <v>160</v>
      </c>
      <c r="AE99" s="5">
        <v>145</v>
      </c>
      <c r="AF99" s="5">
        <v>11.4</v>
      </c>
      <c r="AG99" s="5">
        <v>8</v>
      </c>
      <c r="AH99" s="5">
        <v>20</v>
      </c>
      <c r="AI99" s="5">
        <v>24</v>
      </c>
      <c r="AJ99" s="5">
        <v>60</v>
      </c>
      <c r="AK99" s="5">
        <v>70</v>
      </c>
      <c r="AL99" s="5">
        <v>16</v>
      </c>
      <c r="AM99" s="5">
        <v>4</v>
      </c>
      <c r="AN99" s="5">
        <v>37</v>
      </c>
      <c r="AO99" s="5">
        <v>35</v>
      </c>
      <c r="AP99" s="5">
        <v>9</v>
      </c>
      <c r="AQ99" s="23">
        <v>12</v>
      </c>
      <c r="AR99" s="5">
        <v>12.43</v>
      </c>
      <c r="AT99" s="23"/>
      <c r="AU99" s="5">
        <v>2253</v>
      </c>
      <c r="AV99" s="5">
        <v>1063</v>
      </c>
      <c r="AX99" s="5" t="s">
        <v>410</v>
      </c>
      <c r="AY99" s="28">
        <v>45</v>
      </c>
      <c r="AZ99" s="5">
        <v>49</v>
      </c>
      <c r="BA99" s="5">
        <v>12.3</v>
      </c>
      <c r="BB99" s="5">
        <v>10</v>
      </c>
      <c r="BC99" s="23">
        <v>6.07</v>
      </c>
      <c r="BD99" s="5">
        <v>6.05</v>
      </c>
      <c r="BE99" s="5">
        <v>1.19</v>
      </c>
      <c r="BF99" s="5">
        <v>0.08</v>
      </c>
      <c r="BG99" s="5">
        <v>60</v>
      </c>
      <c r="BH99" s="5">
        <v>69</v>
      </c>
      <c r="BI99" s="5">
        <v>6</v>
      </c>
      <c r="BJ99" s="5">
        <v>4.9000000000000004</v>
      </c>
      <c r="BK99" s="5">
        <v>85</v>
      </c>
      <c r="BL99" s="5">
        <v>77</v>
      </c>
      <c r="BM99" s="5">
        <v>17</v>
      </c>
      <c r="BN99" s="5">
        <v>11.9</v>
      </c>
      <c r="BO99" s="5">
        <v>5.0999999999999996</v>
      </c>
      <c r="BP99" s="5">
        <v>3.4</v>
      </c>
      <c r="BQ99" s="5">
        <v>11.9</v>
      </c>
      <c r="BR99" s="5">
        <v>7.5</v>
      </c>
      <c r="BS99" s="5">
        <v>45.2</v>
      </c>
      <c r="BT99" s="5">
        <v>37.4</v>
      </c>
      <c r="BU99" s="5">
        <v>36.200000000000003</v>
      </c>
      <c r="BV99" s="5">
        <v>24.1</v>
      </c>
      <c r="BW99" s="5">
        <v>17.399999999999999</v>
      </c>
      <c r="BX99" s="5">
        <v>11.9</v>
      </c>
    </row>
    <row r="100" spans="1:77" s="5" customFormat="1" x14ac:dyDescent="0.35">
      <c r="A100" s="5">
        <v>1</v>
      </c>
      <c r="B100" s="23">
        <v>1640</v>
      </c>
      <c r="C100" s="5" t="s">
        <v>675</v>
      </c>
      <c r="D100" s="5">
        <v>93</v>
      </c>
      <c r="E100" s="23" t="s">
        <v>110</v>
      </c>
      <c r="F100" s="5" t="s">
        <v>676</v>
      </c>
      <c r="G100" s="5" t="s">
        <v>373</v>
      </c>
      <c r="H100" s="5" t="s">
        <v>82</v>
      </c>
      <c r="I100" s="5" t="s">
        <v>98</v>
      </c>
      <c r="J100" s="5" t="s">
        <v>677</v>
      </c>
      <c r="K100" s="5" t="s">
        <v>678</v>
      </c>
      <c r="M100" s="23"/>
      <c r="O100" s="23">
        <v>84</v>
      </c>
      <c r="P100" s="5">
        <v>97</v>
      </c>
      <c r="R100" s="5">
        <v>8</v>
      </c>
      <c r="S100" s="6">
        <v>44691</v>
      </c>
      <c r="T100" s="6">
        <v>44694</v>
      </c>
      <c r="U100" s="5">
        <v>3</v>
      </c>
      <c r="V100" s="25">
        <v>44695</v>
      </c>
      <c r="Y100" s="5" t="s">
        <v>679</v>
      </c>
      <c r="Z100" s="5" t="s">
        <v>91</v>
      </c>
      <c r="AA100" s="5" t="s">
        <v>104</v>
      </c>
      <c r="AB100" s="5">
        <v>3</v>
      </c>
      <c r="AC100" s="5" t="s">
        <v>680</v>
      </c>
      <c r="AD100" s="28">
        <v>125</v>
      </c>
      <c r="AF100" s="5">
        <v>2.5</v>
      </c>
      <c r="AH100" s="5">
        <v>8</v>
      </c>
      <c r="AJ100" s="5">
        <v>56</v>
      </c>
      <c r="AL100" s="5">
        <v>25</v>
      </c>
      <c r="AN100" s="5">
        <v>23</v>
      </c>
      <c r="AP100" s="5">
        <v>18</v>
      </c>
      <c r="AQ100" s="23"/>
      <c r="AT100" s="23"/>
      <c r="AY100" s="28">
        <v>38</v>
      </c>
      <c r="BA100" s="5">
        <v>9.6999999999999993</v>
      </c>
      <c r="BC100" s="23">
        <v>2.4300000000000002</v>
      </c>
      <c r="BE100" s="5">
        <v>0.96</v>
      </c>
      <c r="BG100" s="5">
        <v>82.7</v>
      </c>
      <c r="BI100" s="5">
        <v>25.1</v>
      </c>
      <c r="BK100" s="5">
        <v>187.7</v>
      </c>
      <c r="BS100" s="5">
        <v>30.2</v>
      </c>
      <c r="BU100" s="5">
        <v>24.1</v>
      </c>
      <c r="BW100" s="5">
        <v>4.5999999999999996</v>
      </c>
    </row>
    <row r="101" spans="1:77" s="5" customFormat="1" x14ac:dyDescent="0.35">
      <c r="A101" s="5">
        <v>1</v>
      </c>
      <c r="B101" s="23">
        <v>3332</v>
      </c>
      <c r="C101" s="5" t="s">
        <v>681</v>
      </c>
      <c r="D101" s="5">
        <v>68</v>
      </c>
      <c r="E101" s="23" t="s">
        <v>110</v>
      </c>
      <c r="F101" s="5" t="s">
        <v>682</v>
      </c>
      <c r="G101" s="5" t="s">
        <v>373</v>
      </c>
      <c r="H101" s="5" t="s">
        <v>82</v>
      </c>
      <c r="I101" s="5" t="s">
        <v>98</v>
      </c>
      <c r="J101" s="5" t="s">
        <v>668</v>
      </c>
      <c r="K101" s="5" t="s">
        <v>683</v>
      </c>
      <c r="M101" s="23"/>
      <c r="O101" s="23">
        <v>91</v>
      </c>
      <c r="P101" s="5">
        <v>98</v>
      </c>
      <c r="R101" s="5">
        <v>14</v>
      </c>
      <c r="S101" s="6">
        <v>44691</v>
      </c>
      <c r="T101" s="6">
        <v>44699</v>
      </c>
      <c r="U101" s="5">
        <v>8</v>
      </c>
      <c r="V101" s="25">
        <v>44699</v>
      </c>
      <c r="X101" s="5" t="s">
        <v>684</v>
      </c>
      <c r="Z101" s="5" t="s">
        <v>170</v>
      </c>
      <c r="AA101" s="5" t="s">
        <v>104</v>
      </c>
      <c r="AB101" s="5">
        <v>8</v>
      </c>
      <c r="AC101" s="5" t="s">
        <v>685</v>
      </c>
      <c r="AD101" s="28">
        <v>99</v>
      </c>
      <c r="AF101" s="5">
        <v>16.899999999999999</v>
      </c>
      <c r="AH101" s="5">
        <v>20</v>
      </c>
      <c r="AJ101" s="5">
        <v>78</v>
      </c>
      <c r="AL101" s="5">
        <v>1</v>
      </c>
      <c r="AN101" s="5">
        <v>15</v>
      </c>
      <c r="AP101" s="5">
        <v>18</v>
      </c>
      <c r="AQ101" s="23">
        <v>6</v>
      </c>
      <c r="AT101" s="23"/>
      <c r="AU101" s="5">
        <v>10000</v>
      </c>
      <c r="AV101" s="5">
        <v>5000</v>
      </c>
      <c r="AX101" s="5" t="s">
        <v>410</v>
      </c>
      <c r="AY101" s="28">
        <v>41</v>
      </c>
      <c r="AZ101" s="5">
        <v>31</v>
      </c>
      <c r="BA101" s="5">
        <v>10.4</v>
      </c>
      <c r="BB101" s="5">
        <v>17</v>
      </c>
      <c r="BC101" s="23">
        <v>5.52</v>
      </c>
      <c r="BD101" s="5">
        <v>2.08</v>
      </c>
      <c r="BE101" s="5">
        <v>1.01</v>
      </c>
      <c r="BF101" s="5">
        <v>1.6</v>
      </c>
      <c r="BG101" s="5">
        <v>60.7</v>
      </c>
      <c r="BH101" s="5">
        <v>50</v>
      </c>
      <c r="BI101" s="5">
        <v>7.3</v>
      </c>
      <c r="BJ101" s="5">
        <v>10.9</v>
      </c>
      <c r="BK101" s="5">
        <v>101</v>
      </c>
      <c r="BL101" s="5">
        <v>122</v>
      </c>
      <c r="BM101" s="5">
        <v>11</v>
      </c>
      <c r="BN101" s="5">
        <v>18.7</v>
      </c>
      <c r="BO101" s="5">
        <v>3.4</v>
      </c>
      <c r="BP101" s="5">
        <v>6.8</v>
      </c>
      <c r="BQ101" s="5">
        <v>8.5</v>
      </c>
      <c r="BR101" s="5">
        <v>11.6</v>
      </c>
      <c r="BS101" s="5">
        <v>75.400000000000006</v>
      </c>
      <c r="BT101" s="5">
        <v>90.4</v>
      </c>
      <c r="BU101" s="5">
        <v>60.4</v>
      </c>
      <c r="BV101" s="5">
        <v>61</v>
      </c>
      <c r="BW101" s="5">
        <v>7.1</v>
      </c>
      <c r="BX101" s="5">
        <v>5.8</v>
      </c>
    </row>
    <row r="102" spans="1:77" s="5" customFormat="1" x14ac:dyDescent="0.35">
      <c r="A102" s="5">
        <v>1</v>
      </c>
      <c r="B102" s="23">
        <v>2373</v>
      </c>
      <c r="C102" s="5" t="s">
        <v>686</v>
      </c>
      <c r="D102" s="5">
        <v>61</v>
      </c>
      <c r="E102" s="23" t="s">
        <v>79</v>
      </c>
      <c r="F102" s="5" t="s">
        <v>687</v>
      </c>
      <c r="G102" s="5" t="s">
        <v>373</v>
      </c>
      <c r="H102" s="5" t="s">
        <v>82</v>
      </c>
      <c r="I102" s="5" t="s">
        <v>98</v>
      </c>
      <c r="J102" s="5" t="s">
        <v>688</v>
      </c>
      <c r="K102" s="5" t="s">
        <v>683</v>
      </c>
      <c r="M102" s="23"/>
      <c r="O102" s="23">
        <v>85</v>
      </c>
      <c r="P102" s="5">
        <v>96</v>
      </c>
      <c r="R102" s="5">
        <v>7</v>
      </c>
      <c r="S102" s="6">
        <v>44635</v>
      </c>
      <c r="T102" s="6">
        <v>44671</v>
      </c>
      <c r="U102" s="5">
        <v>37</v>
      </c>
      <c r="V102" s="25">
        <v>44672</v>
      </c>
      <c r="W102" s="5" t="s">
        <v>416</v>
      </c>
      <c r="Y102" s="5" t="s">
        <v>645</v>
      </c>
      <c r="Z102" s="5" t="s">
        <v>91</v>
      </c>
      <c r="AA102" s="5" t="s">
        <v>170</v>
      </c>
      <c r="AB102" s="5">
        <v>37</v>
      </c>
      <c r="AC102" s="5" t="s">
        <v>689</v>
      </c>
      <c r="AD102" s="28">
        <v>134</v>
      </c>
      <c r="AE102" s="5">
        <v>103</v>
      </c>
      <c r="AF102" s="5">
        <v>6.7</v>
      </c>
      <c r="AG102" s="5">
        <v>7.4</v>
      </c>
      <c r="AH102" s="5">
        <v>20</v>
      </c>
      <c r="AI102" s="5">
        <v>33</v>
      </c>
      <c r="AJ102" s="5">
        <v>59</v>
      </c>
      <c r="AK102" s="5">
        <v>60</v>
      </c>
      <c r="AL102" s="5">
        <v>13</v>
      </c>
      <c r="AM102" s="5">
        <v>5</v>
      </c>
      <c r="AN102" s="5">
        <v>24</v>
      </c>
      <c r="AO102" s="5">
        <v>62</v>
      </c>
      <c r="AP102" s="5">
        <v>12</v>
      </c>
      <c r="AQ102" s="23">
        <v>12</v>
      </c>
      <c r="AR102" s="5">
        <v>25.5</v>
      </c>
      <c r="AS102" s="5">
        <v>5.56</v>
      </c>
      <c r="AT102" s="23"/>
      <c r="AU102" s="5">
        <v>3750</v>
      </c>
      <c r="AV102" s="5">
        <v>1668</v>
      </c>
      <c r="AX102" s="5" t="s">
        <v>410</v>
      </c>
      <c r="AY102" s="28">
        <v>40</v>
      </c>
      <c r="AZ102" s="5">
        <v>30</v>
      </c>
      <c r="BA102" s="5">
        <v>11.1</v>
      </c>
      <c r="BB102" s="5">
        <v>14.6</v>
      </c>
      <c r="BC102" s="23">
        <v>5.5</v>
      </c>
      <c r="BD102" s="5">
        <v>7.55</v>
      </c>
      <c r="BE102" s="5">
        <v>1.08</v>
      </c>
      <c r="BF102" s="5">
        <v>1.38</v>
      </c>
      <c r="BG102" s="5">
        <v>66</v>
      </c>
      <c r="BH102" s="5">
        <v>59</v>
      </c>
      <c r="BI102" s="5">
        <v>5.0999999999999996</v>
      </c>
      <c r="BJ102" s="5">
        <v>3.7</v>
      </c>
      <c r="BK102" s="5">
        <v>96</v>
      </c>
      <c r="BL102" s="5">
        <v>64</v>
      </c>
      <c r="BM102" s="5">
        <v>28.9</v>
      </c>
      <c r="BN102" s="5">
        <v>11.9</v>
      </c>
      <c r="BO102" s="5">
        <v>6.8</v>
      </c>
      <c r="BP102" s="5">
        <v>3.4</v>
      </c>
      <c r="BQ102" s="5">
        <v>22.1</v>
      </c>
      <c r="BR102" s="5">
        <v>8.9</v>
      </c>
      <c r="BS102" s="5">
        <v>100</v>
      </c>
      <c r="BT102" s="5">
        <v>150.69999999999999</v>
      </c>
      <c r="BU102" s="5">
        <v>60.4</v>
      </c>
      <c r="BV102" s="5">
        <v>74.2</v>
      </c>
      <c r="BW102" s="5">
        <v>4.2</v>
      </c>
      <c r="BX102" s="5">
        <v>5</v>
      </c>
    </row>
    <row r="103" spans="1:77" s="5" customFormat="1" x14ac:dyDescent="0.35">
      <c r="A103" s="5">
        <v>1</v>
      </c>
      <c r="B103" s="23">
        <v>467</v>
      </c>
      <c r="C103" s="5" t="s">
        <v>690</v>
      </c>
      <c r="D103" s="5">
        <v>93</v>
      </c>
      <c r="E103" s="23" t="s">
        <v>110</v>
      </c>
      <c r="F103" s="5" t="s">
        <v>691</v>
      </c>
      <c r="G103" s="5" t="s">
        <v>373</v>
      </c>
      <c r="H103" s="5" t="s">
        <v>82</v>
      </c>
      <c r="I103" s="5" t="s">
        <v>98</v>
      </c>
      <c r="J103" s="5" t="s">
        <v>677</v>
      </c>
      <c r="K103" s="5" t="s">
        <v>683</v>
      </c>
      <c r="M103" s="23"/>
      <c r="O103" s="23">
        <v>80</v>
      </c>
      <c r="P103" s="5">
        <v>95</v>
      </c>
      <c r="R103" s="5">
        <v>10</v>
      </c>
      <c r="S103" s="6">
        <v>44646</v>
      </c>
      <c r="T103" s="6">
        <v>44657</v>
      </c>
      <c r="U103" s="5">
        <v>11</v>
      </c>
      <c r="V103" s="25">
        <v>44658</v>
      </c>
      <c r="Y103" s="5" t="s">
        <v>692</v>
      </c>
      <c r="Z103" s="5" t="s">
        <v>91</v>
      </c>
      <c r="AA103" s="5" t="s">
        <v>104</v>
      </c>
      <c r="AB103" s="5">
        <v>11</v>
      </c>
      <c r="AC103" s="5" t="s">
        <v>689</v>
      </c>
      <c r="AD103" s="28">
        <v>60</v>
      </c>
      <c r="AE103" s="5">
        <v>92</v>
      </c>
      <c r="AF103" s="5">
        <v>14.3</v>
      </c>
      <c r="AG103" s="5">
        <v>28.8</v>
      </c>
      <c r="AH103" s="5">
        <v>10</v>
      </c>
      <c r="AI103" s="5">
        <v>27</v>
      </c>
      <c r="AJ103" s="5">
        <v>74</v>
      </c>
      <c r="AK103" s="5">
        <v>67</v>
      </c>
      <c r="AL103" s="5">
        <v>11</v>
      </c>
      <c r="AM103" s="5">
        <v>4</v>
      </c>
      <c r="AN103" s="5">
        <v>16</v>
      </c>
      <c r="AO103" s="5">
        <v>5</v>
      </c>
      <c r="AP103" s="5">
        <v>18</v>
      </c>
      <c r="AQ103" s="23">
        <v>12</v>
      </c>
      <c r="AT103" s="23"/>
      <c r="AY103" s="28">
        <v>17</v>
      </c>
      <c r="AZ103" s="5">
        <v>29.3</v>
      </c>
      <c r="BA103" s="5">
        <v>16.3</v>
      </c>
      <c r="BB103" s="5">
        <v>21.1</v>
      </c>
      <c r="BC103" s="23">
        <v>3.17</v>
      </c>
      <c r="BD103" s="5">
        <v>0.99</v>
      </c>
      <c r="BE103" s="5">
        <v>1.52</v>
      </c>
      <c r="BF103" s="5">
        <v>1.92</v>
      </c>
      <c r="BG103" s="5">
        <v>60</v>
      </c>
      <c r="BH103" s="5">
        <v>65</v>
      </c>
      <c r="BI103" s="5">
        <v>8.1999999999999993</v>
      </c>
      <c r="BJ103" s="5">
        <v>12.7</v>
      </c>
      <c r="BK103" s="5">
        <v>110</v>
      </c>
      <c r="BL103" s="5">
        <v>154</v>
      </c>
      <c r="BM103" s="5">
        <v>11.9</v>
      </c>
      <c r="BN103" s="5">
        <v>15.3</v>
      </c>
      <c r="BO103" s="5">
        <v>3.4</v>
      </c>
      <c r="BP103" s="5">
        <v>5.0999999999999996</v>
      </c>
      <c r="BQ103" s="5">
        <v>8.5</v>
      </c>
      <c r="BR103" s="5">
        <v>10.199999999999999</v>
      </c>
      <c r="BS103" s="5">
        <v>36.200000000000003</v>
      </c>
      <c r="BT103" s="5">
        <v>54.3</v>
      </c>
      <c r="BU103" s="5">
        <v>24.1</v>
      </c>
      <c r="BV103" s="5">
        <v>60.4</v>
      </c>
      <c r="BW103" s="5">
        <v>9</v>
      </c>
      <c r="BX103" s="5">
        <v>18</v>
      </c>
    </row>
    <row r="104" spans="1:77" s="5" customFormat="1" x14ac:dyDescent="0.35">
      <c r="A104" s="5">
        <v>1</v>
      </c>
      <c r="B104" s="23">
        <v>1613</v>
      </c>
      <c r="C104" s="5" t="s">
        <v>693</v>
      </c>
      <c r="D104" s="5">
        <v>71</v>
      </c>
      <c r="E104" s="23" t="s">
        <v>79</v>
      </c>
      <c r="F104" s="5" t="s">
        <v>694</v>
      </c>
      <c r="G104" s="5" t="s">
        <v>373</v>
      </c>
      <c r="H104" s="5" t="s">
        <v>82</v>
      </c>
      <c r="I104" s="5" t="s">
        <v>98</v>
      </c>
      <c r="J104" s="5" t="s">
        <v>428</v>
      </c>
      <c r="K104" s="5" t="s">
        <v>695</v>
      </c>
      <c r="M104" s="23"/>
      <c r="O104" s="23">
        <v>91</v>
      </c>
      <c r="P104" s="5">
        <v>95</v>
      </c>
      <c r="R104" s="5">
        <v>14</v>
      </c>
      <c r="S104" s="6">
        <v>44701</v>
      </c>
      <c r="T104" s="6">
        <v>44714</v>
      </c>
      <c r="U104" s="5">
        <v>13</v>
      </c>
      <c r="V104" s="25">
        <v>44715</v>
      </c>
      <c r="X104" s="5" t="s">
        <v>679</v>
      </c>
      <c r="Y104" s="5" t="s">
        <v>190</v>
      </c>
      <c r="Z104" s="5" t="s">
        <v>104</v>
      </c>
      <c r="AA104" s="5" t="s">
        <v>104</v>
      </c>
      <c r="AB104" s="5">
        <v>12</v>
      </c>
      <c r="AC104" s="5" t="s">
        <v>696</v>
      </c>
      <c r="AD104" s="28">
        <v>100</v>
      </c>
      <c r="AE104" s="5">
        <v>100</v>
      </c>
      <c r="AF104" s="5">
        <v>0.7</v>
      </c>
      <c r="AG104" s="5">
        <v>10.199999999999999</v>
      </c>
      <c r="AH104" s="5">
        <v>0</v>
      </c>
      <c r="AI104" s="5">
        <v>6</v>
      </c>
      <c r="AJ104" s="5">
        <v>35</v>
      </c>
      <c r="AK104" s="5">
        <v>81</v>
      </c>
      <c r="AL104" s="5">
        <v>57</v>
      </c>
      <c r="AM104" s="5">
        <v>4</v>
      </c>
      <c r="AN104" s="5">
        <v>42</v>
      </c>
      <c r="AO104" s="5">
        <v>51</v>
      </c>
      <c r="AP104" s="5">
        <v>12</v>
      </c>
      <c r="AQ104" s="23">
        <v>8</v>
      </c>
      <c r="AT104" s="23"/>
      <c r="AU104" s="5">
        <v>5556</v>
      </c>
      <c r="AV104" s="5">
        <v>2572</v>
      </c>
      <c r="AX104" s="5" t="s">
        <v>410</v>
      </c>
      <c r="AY104" s="28">
        <v>32</v>
      </c>
      <c r="AZ104" s="5">
        <v>30</v>
      </c>
      <c r="BA104" s="5">
        <v>11.8</v>
      </c>
      <c r="BB104" s="5">
        <v>11.9</v>
      </c>
      <c r="BC104" s="23">
        <v>4.57</v>
      </c>
      <c r="BD104" s="5">
        <v>4.7300000000000004</v>
      </c>
      <c r="BE104" s="5">
        <v>1.1399999999999999</v>
      </c>
      <c r="BF104" s="5">
        <v>1.1599999999999999</v>
      </c>
      <c r="BG104" s="5">
        <v>62</v>
      </c>
      <c r="BH104" s="5">
        <v>50</v>
      </c>
      <c r="BI104" s="5">
        <v>12</v>
      </c>
      <c r="BJ104" s="5">
        <v>37</v>
      </c>
      <c r="BK104" s="5">
        <v>147</v>
      </c>
      <c r="BL104" s="5">
        <v>300</v>
      </c>
      <c r="BM104" s="5">
        <v>20.399999999999999</v>
      </c>
      <c r="BN104" s="5">
        <v>11.9</v>
      </c>
      <c r="BO104" s="5">
        <v>6.8</v>
      </c>
      <c r="BP104" s="5">
        <v>3.4</v>
      </c>
      <c r="BQ104" s="5">
        <v>11.9</v>
      </c>
      <c r="BR104" s="5">
        <v>8.5</v>
      </c>
      <c r="BS104" s="5">
        <v>37.4</v>
      </c>
      <c r="BT104" s="5">
        <v>30.2</v>
      </c>
      <c r="BU104" s="5">
        <v>36.200000000000003</v>
      </c>
      <c r="BV104" s="5">
        <v>37.4</v>
      </c>
      <c r="BW104" s="5">
        <v>5</v>
      </c>
      <c r="BX104" s="5">
        <v>4.5</v>
      </c>
    </row>
    <row r="105" spans="1:77" s="5" customFormat="1" x14ac:dyDescent="0.35">
      <c r="A105" s="5">
        <v>1</v>
      </c>
      <c r="B105" s="23">
        <v>1784</v>
      </c>
      <c r="C105" s="5" t="s">
        <v>697</v>
      </c>
      <c r="D105" s="5">
        <v>70</v>
      </c>
      <c r="E105" s="23" t="s">
        <v>79</v>
      </c>
      <c r="F105" s="5" t="s">
        <v>698</v>
      </c>
      <c r="G105" s="5" t="s">
        <v>373</v>
      </c>
      <c r="H105" s="5" t="s">
        <v>82</v>
      </c>
      <c r="I105" s="5" t="s">
        <v>98</v>
      </c>
      <c r="J105" s="5" t="s">
        <v>428</v>
      </c>
      <c r="K105" s="5" t="s">
        <v>695</v>
      </c>
      <c r="M105" s="23"/>
      <c r="O105" s="23">
        <v>82</v>
      </c>
      <c r="P105" s="5">
        <v>94</v>
      </c>
      <c r="R105" s="5">
        <v>5</v>
      </c>
      <c r="S105" s="6">
        <v>44699</v>
      </c>
      <c r="T105" s="6">
        <v>44718</v>
      </c>
      <c r="U105" s="5">
        <v>19</v>
      </c>
      <c r="V105" s="25">
        <v>44719</v>
      </c>
      <c r="W105" s="5" t="s">
        <v>699</v>
      </c>
      <c r="X105" s="5" t="s">
        <v>190</v>
      </c>
      <c r="Z105" s="5" t="s">
        <v>91</v>
      </c>
      <c r="AA105" s="5" t="s">
        <v>170</v>
      </c>
      <c r="AB105" s="5">
        <v>19</v>
      </c>
      <c r="AC105" s="5" t="s">
        <v>685</v>
      </c>
      <c r="AD105" s="28">
        <v>148</v>
      </c>
      <c r="AE105" s="5">
        <v>118</v>
      </c>
      <c r="AF105" s="5">
        <v>5.5</v>
      </c>
      <c r="AG105" s="5">
        <v>15.8</v>
      </c>
      <c r="AH105" s="5">
        <v>22</v>
      </c>
      <c r="AI105" s="5">
        <v>11</v>
      </c>
      <c r="AJ105" s="5">
        <v>63</v>
      </c>
      <c r="AK105" s="5">
        <v>85</v>
      </c>
      <c r="AL105" s="5">
        <v>12</v>
      </c>
      <c r="AM105" s="5">
        <v>2</v>
      </c>
      <c r="AN105" s="5">
        <v>24</v>
      </c>
      <c r="AO105" s="5">
        <v>20</v>
      </c>
      <c r="AP105" s="5">
        <v>6</v>
      </c>
      <c r="AQ105" s="23">
        <v>6</v>
      </c>
      <c r="AT105" s="23"/>
      <c r="AU105" s="5">
        <v>3782</v>
      </c>
      <c r="AV105" s="5">
        <v>1014</v>
      </c>
      <c r="AX105" s="5" t="s">
        <v>410</v>
      </c>
      <c r="AY105" s="28">
        <v>44</v>
      </c>
      <c r="AZ105" s="5">
        <v>51</v>
      </c>
      <c r="BA105" s="5">
        <v>13.5</v>
      </c>
      <c r="BB105" s="5">
        <v>11.7</v>
      </c>
      <c r="BC105" s="23">
        <v>6</v>
      </c>
      <c r="BD105" s="5">
        <v>4.08</v>
      </c>
      <c r="BE105" s="5">
        <v>1.3</v>
      </c>
      <c r="BF105" s="5">
        <v>1.1399999999999999</v>
      </c>
      <c r="BG105" s="5">
        <v>81</v>
      </c>
      <c r="BH105" s="5">
        <v>61</v>
      </c>
      <c r="BI105" s="5">
        <v>8.6</v>
      </c>
      <c r="BJ105" s="5">
        <v>8</v>
      </c>
      <c r="BK105" s="5">
        <v>115</v>
      </c>
      <c r="BL105" s="5">
        <v>106</v>
      </c>
      <c r="BM105" s="5">
        <v>13.6</v>
      </c>
      <c r="BN105" s="5">
        <v>18.7</v>
      </c>
      <c r="BO105" s="5">
        <v>5.0999999999999996</v>
      </c>
      <c r="BP105" s="5">
        <v>6.8</v>
      </c>
      <c r="BQ105" s="5">
        <v>8.5</v>
      </c>
      <c r="BR105" s="5">
        <v>11.9</v>
      </c>
      <c r="BS105" s="5">
        <v>75.400000000000006</v>
      </c>
      <c r="BT105" s="5">
        <v>37.4</v>
      </c>
      <c r="BU105" s="5">
        <v>42.2</v>
      </c>
      <c r="BV105" s="5">
        <v>42.2</v>
      </c>
      <c r="BW105" s="5">
        <v>3.8</v>
      </c>
      <c r="BX105" s="5">
        <v>5.5</v>
      </c>
    </row>
    <row r="106" spans="1:77" s="5" customFormat="1" x14ac:dyDescent="0.35">
      <c r="A106" s="5">
        <v>1</v>
      </c>
      <c r="B106" s="23">
        <v>3238</v>
      </c>
      <c r="C106" s="5" t="s">
        <v>700</v>
      </c>
      <c r="D106" s="5">
        <v>79</v>
      </c>
      <c r="E106" s="23" t="s">
        <v>79</v>
      </c>
      <c r="F106" s="5" t="s">
        <v>701</v>
      </c>
      <c r="G106" s="5" t="s">
        <v>373</v>
      </c>
      <c r="H106" s="5" t="s">
        <v>82</v>
      </c>
      <c r="I106" s="5" t="s">
        <v>98</v>
      </c>
      <c r="J106" s="5" t="s">
        <v>702</v>
      </c>
      <c r="K106" s="5" t="s">
        <v>703</v>
      </c>
      <c r="M106" s="23"/>
      <c r="O106" s="23">
        <v>84</v>
      </c>
      <c r="P106" s="5">
        <v>96</v>
      </c>
      <c r="R106" s="5">
        <v>6</v>
      </c>
      <c r="S106" s="6">
        <v>44676</v>
      </c>
      <c r="T106" s="6">
        <v>44701</v>
      </c>
      <c r="U106" s="5">
        <v>25</v>
      </c>
      <c r="V106" s="25">
        <v>44702</v>
      </c>
      <c r="Y106" s="5" t="s">
        <v>692</v>
      </c>
      <c r="Z106" s="5" t="s">
        <v>119</v>
      </c>
      <c r="AA106" s="5" t="s">
        <v>104</v>
      </c>
      <c r="AB106" s="5">
        <v>25</v>
      </c>
      <c r="AC106" s="5" t="s">
        <v>685</v>
      </c>
      <c r="AD106" s="28">
        <v>155</v>
      </c>
      <c r="AE106" s="5">
        <v>148</v>
      </c>
      <c r="AF106" s="5">
        <v>4.8</v>
      </c>
      <c r="AG106" s="5">
        <v>9.5</v>
      </c>
      <c r="AH106" s="5">
        <v>26</v>
      </c>
      <c r="AI106" s="5">
        <v>13</v>
      </c>
      <c r="AJ106" s="5">
        <v>56</v>
      </c>
      <c r="AK106" s="5">
        <v>81</v>
      </c>
      <c r="AL106" s="5">
        <v>10</v>
      </c>
      <c r="AM106" s="5">
        <v>3</v>
      </c>
      <c r="AN106" s="5">
        <v>31</v>
      </c>
      <c r="AO106" s="5">
        <v>20</v>
      </c>
      <c r="AP106" s="5">
        <v>12</v>
      </c>
      <c r="AQ106" s="23">
        <v>8</v>
      </c>
      <c r="AT106" s="23"/>
      <c r="AU106" s="5">
        <v>1099</v>
      </c>
      <c r="AV106" s="5">
        <v>1332</v>
      </c>
      <c r="AX106" s="5" t="s">
        <v>410</v>
      </c>
      <c r="AY106" s="28">
        <v>53</v>
      </c>
      <c r="AZ106" s="5">
        <v>45</v>
      </c>
      <c r="BA106" s="5">
        <v>9.6</v>
      </c>
      <c r="BB106" s="5">
        <v>12.5</v>
      </c>
      <c r="BC106" s="23">
        <v>5</v>
      </c>
      <c r="BD106" s="5">
        <v>4</v>
      </c>
      <c r="BE106" s="5">
        <v>0.95</v>
      </c>
      <c r="BF106" s="5">
        <v>1.21</v>
      </c>
      <c r="BG106" s="5">
        <v>66</v>
      </c>
      <c r="BH106" s="5">
        <v>78</v>
      </c>
      <c r="BI106" s="5">
        <v>16.2</v>
      </c>
      <c r="BJ106" s="5">
        <v>8.6999999999999993</v>
      </c>
      <c r="BK106" s="5">
        <v>180</v>
      </c>
      <c r="BL106" s="5">
        <v>131</v>
      </c>
      <c r="BM106" s="5">
        <v>17</v>
      </c>
      <c r="BN106" s="5">
        <v>13.6</v>
      </c>
      <c r="BO106" s="5">
        <v>5.0999999999999996</v>
      </c>
      <c r="BP106" s="5">
        <v>3.4</v>
      </c>
      <c r="BQ106" s="5">
        <v>11.9</v>
      </c>
      <c r="BR106" s="5">
        <v>10.199999999999999</v>
      </c>
      <c r="BS106" s="5">
        <v>52.4</v>
      </c>
      <c r="BT106" s="5">
        <v>42.2</v>
      </c>
      <c r="BU106" s="5">
        <v>66.400000000000006</v>
      </c>
      <c r="BV106" s="5">
        <v>24.1</v>
      </c>
      <c r="BW106" s="5">
        <v>7</v>
      </c>
      <c r="BX106" s="5">
        <v>7.1</v>
      </c>
    </row>
    <row r="107" spans="1:77" s="5" customFormat="1" x14ac:dyDescent="0.35">
      <c r="A107" s="5">
        <v>1</v>
      </c>
      <c r="B107" s="23">
        <v>2060</v>
      </c>
      <c r="C107" s="5" t="s">
        <v>704</v>
      </c>
      <c r="D107" s="5">
        <v>70</v>
      </c>
      <c r="E107" s="23" t="s">
        <v>110</v>
      </c>
      <c r="F107" s="5" t="s">
        <v>705</v>
      </c>
      <c r="G107" s="5" t="s">
        <v>373</v>
      </c>
      <c r="H107" s="5" t="s">
        <v>82</v>
      </c>
      <c r="I107" s="5" t="s">
        <v>98</v>
      </c>
      <c r="J107" s="5" t="s">
        <v>706</v>
      </c>
      <c r="K107" s="5" t="s">
        <v>707</v>
      </c>
      <c r="M107" s="23"/>
      <c r="O107" s="23">
        <v>80</v>
      </c>
      <c r="P107" s="5">
        <v>94</v>
      </c>
      <c r="R107" s="5">
        <v>14</v>
      </c>
      <c r="S107" s="6">
        <v>44618</v>
      </c>
      <c r="T107" s="6">
        <v>44696</v>
      </c>
      <c r="U107" s="5">
        <v>79</v>
      </c>
      <c r="V107" s="25">
        <v>44698</v>
      </c>
      <c r="X107" s="5" t="s">
        <v>654</v>
      </c>
      <c r="Z107" s="5" t="s">
        <v>119</v>
      </c>
      <c r="AA107" s="5" t="s">
        <v>104</v>
      </c>
      <c r="AB107" s="5">
        <v>79</v>
      </c>
      <c r="AC107" s="5" t="s">
        <v>685</v>
      </c>
      <c r="AD107" s="28">
        <v>134</v>
      </c>
      <c r="AE107" s="5">
        <v>122</v>
      </c>
      <c r="AF107" s="5">
        <v>6.8</v>
      </c>
      <c r="AG107" s="5">
        <v>21.9</v>
      </c>
      <c r="AH107" s="5">
        <v>5</v>
      </c>
      <c r="AI107" s="5">
        <v>8</v>
      </c>
      <c r="AJ107" s="5">
        <v>75</v>
      </c>
      <c r="AK107" s="5">
        <v>78</v>
      </c>
      <c r="AL107" s="5">
        <v>14</v>
      </c>
      <c r="AM107" s="5">
        <v>9</v>
      </c>
      <c r="AN107" s="5">
        <v>37</v>
      </c>
      <c r="AO107" s="5">
        <v>46</v>
      </c>
      <c r="AP107" s="5">
        <v>18</v>
      </c>
      <c r="AQ107" s="23">
        <v>12</v>
      </c>
      <c r="AT107" s="23"/>
      <c r="AU107" s="5">
        <v>1000</v>
      </c>
      <c r="AV107" s="5">
        <v>800</v>
      </c>
      <c r="AX107" s="5" t="s">
        <v>410</v>
      </c>
      <c r="AY107" s="28">
        <v>32</v>
      </c>
      <c r="AZ107" s="5">
        <v>36</v>
      </c>
      <c r="BA107" s="5">
        <v>14.1</v>
      </c>
      <c r="BB107" s="5">
        <v>12.3</v>
      </c>
      <c r="BC107" s="23">
        <v>6</v>
      </c>
      <c r="BD107" s="5">
        <v>5</v>
      </c>
      <c r="BE107" s="5">
        <v>1.35</v>
      </c>
      <c r="BF107" s="5">
        <v>1.19</v>
      </c>
      <c r="BG107" s="5">
        <v>53</v>
      </c>
      <c r="BH107" s="5">
        <v>60</v>
      </c>
      <c r="BI107" s="5">
        <v>6</v>
      </c>
      <c r="BJ107" s="5">
        <v>7.3</v>
      </c>
      <c r="BK107" s="5">
        <v>95</v>
      </c>
      <c r="BL107" s="5">
        <v>104</v>
      </c>
      <c r="BM107" s="5">
        <v>53</v>
      </c>
      <c r="BN107" s="5">
        <v>60.5</v>
      </c>
      <c r="BO107" s="5">
        <v>5</v>
      </c>
      <c r="BP107" s="5">
        <v>5.0999999999999996</v>
      </c>
      <c r="BQ107" s="5">
        <v>10.199999999999999</v>
      </c>
      <c r="BR107" s="5">
        <v>8.5</v>
      </c>
      <c r="BS107" s="5">
        <v>75.400000000000006</v>
      </c>
      <c r="BT107" s="5">
        <v>40.200000000000003</v>
      </c>
      <c r="BU107" s="5">
        <v>54.3</v>
      </c>
      <c r="BV107" s="5">
        <v>24.1</v>
      </c>
      <c r="BW107" s="5">
        <v>7.7</v>
      </c>
      <c r="BX107" s="5">
        <v>4.4000000000000004</v>
      </c>
    </row>
    <row r="108" spans="1:77" s="5" customFormat="1" x14ac:dyDescent="0.35">
      <c r="A108" s="5">
        <v>1</v>
      </c>
      <c r="B108" s="23">
        <v>1789</v>
      </c>
      <c r="C108" s="5" t="s">
        <v>708</v>
      </c>
      <c r="D108" s="5">
        <v>86</v>
      </c>
      <c r="E108" s="23" t="s">
        <v>110</v>
      </c>
      <c r="F108" s="5" t="s">
        <v>709</v>
      </c>
      <c r="G108" s="5" t="s">
        <v>373</v>
      </c>
      <c r="H108" s="5" t="s">
        <v>82</v>
      </c>
      <c r="I108" s="5" t="s">
        <v>98</v>
      </c>
      <c r="J108" s="5" t="s">
        <v>428</v>
      </c>
      <c r="K108" s="5" t="s">
        <v>695</v>
      </c>
      <c r="M108" s="23"/>
      <c r="O108" s="23">
        <v>87</v>
      </c>
      <c r="P108" s="5">
        <v>95</v>
      </c>
      <c r="R108" s="5">
        <v>3</v>
      </c>
      <c r="S108" s="6">
        <v>44658</v>
      </c>
      <c r="T108" s="6">
        <v>44660</v>
      </c>
      <c r="U108" s="5">
        <v>1</v>
      </c>
      <c r="V108" s="25">
        <v>44661</v>
      </c>
      <c r="Y108" s="5" t="s">
        <v>416</v>
      </c>
      <c r="Z108" s="5" t="s">
        <v>104</v>
      </c>
      <c r="AA108" s="5" t="s">
        <v>104</v>
      </c>
      <c r="AB108" s="5">
        <v>1</v>
      </c>
      <c r="AC108" s="5" t="s">
        <v>685</v>
      </c>
      <c r="AD108" s="28">
        <v>128</v>
      </c>
      <c r="AF108" s="5">
        <v>6.5</v>
      </c>
      <c r="AH108" s="5">
        <v>22</v>
      </c>
      <c r="AJ108" s="5">
        <v>66</v>
      </c>
      <c r="AL108" s="5">
        <v>10</v>
      </c>
      <c r="AN108" s="5">
        <v>37</v>
      </c>
      <c r="AP108" s="5">
        <v>12</v>
      </c>
      <c r="AQ108" s="23"/>
      <c r="AT108" s="23"/>
      <c r="AU108" s="5">
        <v>1344</v>
      </c>
      <c r="AX108" s="5" t="s">
        <v>410</v>
      </c>
      <c r="AY108" s="28">
        <v>38</v>
      </c>
      <c r="BA108" s="5">
        <v>15.1</v>
      </c>
      <c r="BC108" s="23">
        <v>7</v>
      </c>
      <c r="BE108" s="5">
        <v>1.44</v>
      </c>
      <c r="BH108" s="5" t="s">
        <v>432</v>
      </c>
      <c r="BJ108" s="5" t="s">
        <v>433</v>
      </c>
    </row>
    <row r="109" spans="1:77" s="5" customFormat="1" x14ac:dyDescent="0.35">
      <c r="A109" s="5">
        <v>1</v>
      </c>
      <c r="B109" s="23">
        <v>2443</v>
      </c>
      <c r="C109" s="5" t="s">
        <v>710</v>
      </c>
      <c r="D109" s="5">
        <v>87</v>
      </c>
      <c r="E109" s="23" t="s">
        <v>79</v>
      </c>
      <c r="F109" s="5" t="s">
        <v>711</v>
      </c>
      <c r="G109" s="5" t="s">
        <v>373</v>
      </c>
      <c r="H109" s="5" t="s">
        <v>82</v>
      </c>
      <c r="I109" s="5" t="s">
        <v>98</v>
      </c>
      <c r="J109" s="5" t="s">
        <v>712</v>
      </c>
      <c r="K109" s="5" t="s">
        <v>683</v>
      </c>
      <c r="M109" s="23"/>
      <c r="O109" s="23">
        <v>86</v>
      </c>
      <c r="P109" s="5">
        <v>95</v>
      </c>
      <c r="R109" s="5">
        <v>6</v>
      </c>
      <c r="S109" s="6">
        <v>44672</v>
      </c>
      <c r="T109" s="6">
        <v>44682</v>
      </c>
      <c r="U109" s="5">
        <v>10</v>
      </c>
      <c r="V109" s="25">
        <v>44684</v>
      </c>
      <c r="Y109" s="5" t="s">
        <v>416</v>
      </c>
      <c r="Z109" s="5" t="s">
        <v>135</v>
      </c>
      <c r="AA109" s="5" t="s">
        <v>119</v>
      </c>
      <c r="AB109" s="5">
        <v>8</v>
      </c>
      <c r="AC109" s="5" t="s">
        <v>685</v>
      </c>
      <c r="AD109" s="28">
        <v>145</v>
      </c>
      <c r="AE109" s="5">
        <v>172</v>
      </c>
      <c r="AF109" s="5">
        <v>3.8</v>
      </c>
      <c r="AG109" s="5">
        <v>17.5</v>
      </c>
      <c r="AH109" s="5">
        <v>11</v>
      </c>
      <c r="AI109" s="5">
        <v>21</v>
      </c>
      <c r="AJ109" s="5">
        <v>79</v>
      </c>
      <c r="AK109" s="5">
        <v>77</v>
      </c>
      <c r="AL109" s="5">
        <v>8</v>
      </c>
      <c r="AM109" s="5">
        <v>1</v>
      </c>
      <c r="AN109" s="5">
        <v>34</v>
      </c>
      <c r="AO109" s="5">
        <v>8</v>
      </c>
      <c r="AP109" s="5">
        <v>18</v>
      </c>
      <c r="AQ109" s="23">
        <v>12</v>
      </c>
      <c r="AT109" s="23"/>
      <c r="AU109" s="5">
        <v>4000</v>
      </c>
      <c r="AV109" s="5">
        <v>2546</v>
      </c>
      <c r="AX109" s="5" t="s">
        <v>410</v>
      </c>
      <c r="AY109" s="28">
        <v>42</v>
      </c>
      <c r="AZ109" s="5">
        <v>53</v>
      </c>
      <c r="BA109" s="5">
        <v>11</v>
      </c>
      <c r="BB109" s="5">
        <v>15.2</v>
      </c>
      <c r="BC109" s="23">
        <v>3.98</v>
      </c>
      <c r="BD109" s="5">
        <v>2.93</v>
      </c>
      <c r="BE109" s="5">
        <v>1.07</v>
      </c>
      <c r="BF109" s="5">
        <v>1.5</v>
      </c>
      <c r="BG109" s="5">
        <v>66</v>
      </c>
      <c r="BH109" s="5">
        <v>69</v>
      </c>
      <c r="BI109" s="5">
        <v>6.9</v>
      </c>
      <c r="BJ109" s="5">
        <v>12.6</v>
      </c>
      <c r="BK109" s="5">
        <v>96</v>
      </c>
      <c r="BL109" s="5">
        <v>147</v>
      </c>
      <c r="BM109" s="5">
        <v>18.7</v>
      </c>
      <c r="BO109" s="5">
        <v>6.9</v>
      </c>
      <c r="BQ109" s="5">
        <v>11.9</v>
      </c>
      <c r="BS109" s="5">
        <v>52.4</v>
      </c>
      <c r="BT109" s="5">
        <v>90.4</v>
      </c>
      <c r="BU109" s="5">
        <v>36.4</v>
      </c>
      <c r="BV109" s="5">
        <v>60.4</v>
      </c>
      <c r="BW109" s="5">
        <v>9.5</v>
      </c>
      <c r="BX109" s="5">
        <v>5.6</v>
      </c>
    </row>
    <row r="110" spans="1:77" s="5" customFormat="1" x14ac:dyDescent="0.35">
      <c r="A110" s="5">
        <v>1</v>
      </c>
      <c r="B110" s="23" t="s">
        <v>713</v>
      </c>
      <c r="C110" s="5" t="s">
        <v>714</v>
      </c>
      <c r="D110" s="5">
        <v>68</v>
      </c>
      <c r="E110" s="23" t="s">
        <v>79</v>
      </c>
      <c r="F110" s="5" t="s">
        <v>715</v>
      </c>
      <c r="G110" s="5" t="s">
        <v>373</v>
      </c>
      <c r="H110" s="5" t="s">
        <v>82</v>
      </c>
      <c r="I110" s="5" t="s">
        <v>98</v>
      </c>
      <c r="J110" s="5" t="s">
        <v>716</v>
      </c>
      <c r="K110" s="5" t="s">
        <v>717</v>
      </c>
      <c r="M110" s="23"/>
      <c r="O110" s="23">
        <v>80</v>
      </c>
      <c r="P110" s="5">
        <v>97</v>
      </c>
      <c r="R110" s="5">
        <v>7</v>
      </c>
      <c r="S110" s="6">
        <v>44656</v>
      </c>
      <c r="T110" s="6">
        <v>44675</v>
      </c>
      <c r="U110" s="5">
        <v>19</v>
      </c>
      <c r="V110" s="25">
        <v>44676</v>
      </c>
      <c r="X110" s="5" t="s">
        <v>190</v>
      </c>
      <c r="Z110" s="5" t="s">
        <v>171</v>
      </c>
      <c r="AA110" s="5" t="s">
        <v>104</v>
      </c>
      <c r="AB110" s="5">
        <v>19</v>
      </c>
      <c r="AC110" s="5" t="s">
        <v>718</v>
      </c>
      <c r="AD110" s="28">
        <v>107</v>
      </c>
      <c r="AE110" s="5">
        <v>108</v>
      </c>
      <c r="AF110" s="5">
        <v>7.81</v>
      </c>
      <c r="AG110" s="5">
        <v>31.68</v>
      </c>
      <c r="AH110" s="5">
        <v>10</v>
      </c>
      <c r="AI110" s="5">
        <v>80.2</v>
      </c>
      <c r="AJ110" s="5">
        <v>74.8</v>
      </c>
      <c r="AK110" s="5">
        <v>20.7</v>
      </c>
      <c r="AL110" s="5">
        <v>13.3</v>
      </c>
      <c r="AM110" s="5">
        <v>7.5</v>
      </c>
      <c r="AN110" s="5">
        <v>34</v>
      </c>
      <c r="AO110" s="5">
        <v>20</v>
      </c>
      <c r="AP110" s="5">
        <v>24</v>
      </c>
      <c r="AQ110" s="23">
        <v>22</v>
      </c>
      <c r="AT110" s="23"/>
      <c r="AY110" s="28">
        <v>33</v>
      </c>
      <c r="AZ110" s="5">
        <v>36</v>
      </c>
      <c r="BA110" s="5">
        <v>12.3</v>
      </c>
      <c r="BB110" s="5">
        <v>11.2</v>
      </c>
      <c r="BC110" s="23">
        <v>3.55</v>
      </c>
      <c r="BD110" s="5">
        <v>3.33</v>
      </c>
      <c r="BE110" s="5">
        <v>0.9</v>
      </c>
      <c r="BF110" s="5">
        <v>1.1000000000000001</v>
      </c>
      <c r="BG110" s="5">
        <v>65.400000000000006</v>
      </c>
      <c r="BH110" s="5">
        <v>63</v>
      </c>
      <c r="BI110" s="5">
        <v>8.6300000000000008</v>
      </c>
      <c r="BJ110" s="5">
        <v>9.06</v>
      </c>
      <c r="BK110" s="5">
        <v>83.3</v>
      </c>
      <c r="BL110" s="5">
        <v>63.3</v>
      </c>
      <c r="BM110" s="5">
        <v>7.43</v>
      </c>
      <c r="BN110" s="5">
        <v>10</v>
      </c>
      <c r="BO110" s="5">
        <v>3.81</v>
      </c>
      <c r="BP110" s="5">
        <v>3.7</v>
      </c>
      <c r="BQ110" s="5">
        <v>3.6</v>
      </c>
      <c r="BR110" s="5">
        <v>4</v>
      </c>
      <c r="BS110" s="5">
        <v>14</v>
      </c>
      <c r="BT110" s="5">
        <v>69.7</v>
      </c>
      <c r="BU110" s="5">
        <v>34</v>
      </c>
      <c r="BV110" s="5">
        <v>44.2</v>
      </c>
      <c r="BW110" s="5">
        <v>7.29</v>
      </c>
      <c r="BX110" s="5">
        <v>6.01</v>
      </c>
    </row>
    <row r="111" spans="1:77" s="5" customFormat="1" x14ac:dyDescent="0.35">
      <c r="A111" s="5">
        <v>1</v>
      </c>
      <c r="B111" s="23" t="s">
        <v>719</v>
      </c>
      <c r="C111" s="5" t="s">
        <v>720</v>
      </c>
      <c r="D111" s="5">
        <v>71</v>
      </c>
      <c r="E111" s="23" t="s">
        <v>79</v>
      </c>
      <c r="F111" s="5" t="s">
        <v>721</v>
      </c>
      <c r="G111" s="5" t="s">
        <v>373</v>
      </c>
      <c r="H111" s="5" t="s">
        <v>82</v>
      </c>
      <c r="I111" s="5" t="s">
        <v>98</v>
      </c>
      <c r="J111" s="5" t="s">
        <v>428</v>
      </c>
      <c r="K111" s="5" t="s">
        <v>722</v>
      </c>
      <c r="M111" s="23"/>
      <c r="O111" s="23">
        <v>74</v>
      </c>
      <c r="P111" s="5">
        <v>94</v>
      </c>
      <c r="R111" s="5">
        <v>7</v>
      </c>
      <c r="S111" s="6">
        <v>44664</v>
      </c>
      <c r="T111" s="6">
        <v>44681</v>
      </c>
      <c r="U111" s="5">
        <v>17</v>
      </c>
      <c r="V111" s="25">
        <v>44681</v>
      </c>
      <c r="W111" s="5" t="s">
        <v>723</v>
      </c>
      <c r="X111" s="5" t="s">
        <v>375</v>
      </c>
      <c r="Y111" s="5" t="s">
        <v>337</v>
      </c>
      <c r="Z111" s="5" t="s">
        <v>170</v>
      </c>
      <c r="AA111" s="5" t="s">
        <v>91</v>
      </c>
      <c r="AB111" s="5">
        <v>17</v>
      </c>
      <c r="AC111" s="5" t="s">
        <v>724</v>
      </c>
      <c r="AD111" s="28">
        <v>133</v>
      </c>
      <c r="AE111" s="5">
        <v>108</v>
      </c>
      <c r="AF111" s="5">
        <v>20.2</v>
      </c>
      <c r="AG111" s="5">
        <v>8</v>
      </c>
      <c r="AH111" s="5">
        <v>6</v>
      </c>
      <c r="AI111" s="5">
        <v>50</v>
      </c>
      <c r="AJ111" s="5">
        <v>89</v>
      </c>
      <c r="AK111" s="5">
        <v>48</v>
      </c>
      <c r="AL111" s="5">
        <v>1</v>
      </c>
      <c r="AM111" s="5">
        <v>1</v>
      </c>
      <c r="AN111" s="5">
        <v>10</v>
      </c>
      <c r="AO111" s="5">
        <v>40</v>
      </c>
      <c r="AP111" s="5">
        <v>6</v>
      </c>
      <c r="AQ111" s="23">
        <v>9</v>
      </c>
      <c r="AT111" s="23"/>
      <c r="AU111" s="5">
        <v>1771</v>
      </c>
      <c r="AY111" s="28">
        <v>42</v>
      </c>
      <c r="AZ111" s="5">
        <v>33</v>
      </c>
      <c r="BA111" s="5">
        <v>12.6</v>
      </c>
      <c r="BB111" s="5">
        <v>17.600000000000001</v>
      </c>
      <c r="BC111" s="23">
        <v>3.32</v>
      </c>
      <c r="BD111" s="5">
        <v>5.07</v>
      </c>
      <c r="BE111" s="5">
        <v>1.21</v>
      </c>
      <c r="BF111" s="5">
        <v>1.66</v>
      </c>
      <c r="BG111" s="5">
        <v>64</v>
      </c>
      <c r="BH111" s="5">
        <v>50</v>
      </c>
      <c r="BI111" s="5">
        <v>8.4</v>
      </c>
      <c r="BJ111" s="5">
        <v>8.3000000000000007</v>
      </c>
      <c r="BK111" s="5">
        <v>110</v>
      </c>
      <c r="BL111" s="5">
        <v>168</v>
      </c>
      <c r="BM111" s="5">
        <v>15.3</v>
      </c>
      <c r="BN111" s="5">
        <v>17</v>
      </c>
      <c r="BO111" s="5">
        <v>5.0999999999999996</v>
      </c>
      <c r="BP111" s="5">
        <v>5.0999999999999996</v>
      </c>
      <c r="BQ111" s="5">
        <v>10.199999999999999</v>
      </c>
      <c r="BR111" s="5">
        <v>11.5</v>
      </c>
      <c r="BS111" s="5">
        <v>67.5</v>
      </c>
      <c r="BT111" s="5">
        <v>52.4</v>
      </c>
      <c r="BU111" s="5">
        <v>30.2</v>
      </c>
      <c r="BV111" s="5">
        <v>36.200000000000003</v>
      </c>
      <c r="BW111" s="5">
        <v>6</v>
      </c>
      <c r="BX111" s="5">
        <v>9</v>
      </c>
    </row>
    <row r="112" spans="1:77" s="5" customFormat="1" x14ac:dyDescent="0.35">
      <c r="A112" s="5">
        <v>1</v>
      </c>
      <c r="B112" s="23">
        <v>2526</v>
      </c>
      <c r="C112" s="5" t="s">
        <v>725</v>
      </c>
      <c r="D112" s="5">
        <v>69</v>
      </c>
      <c r="E112" s="23" t="s">
        <v>110</v>
      </c>
      <c r="F112" s="5" t="s">
        <v>726</v>
      </c>
      <c r="G112" s="5" t="s">
        <v>373</v>
      </c>
      <c r="H112" s="5" t="s">
        <v>82</v>
      </c>
      <c r="I112" s="5" t="s">
        <v>98</v>
      </c>
      <c r="J112" s="5" t="s">
        <v>727</v>
      </c>
      <c r="K112" s="5" t="s">
        <v>403</v>
      </c>
      <c r="M112" s="23"/>
      <c r="O112" s="23">
        <v>70</v>
      </c>
      <c r="P112" s="5">
        <v>96</v>
      </c>
      <c r="R112" s="5">
        <v>5</v>
      </c>
      <c r="S112" s="6">
        <v>44656</v>
      </c>
      <c r="T112" s="6">
        <v>44680</v>
      </c>
      <c r="U112" s="5">
        <v>24</v>
      </c>
      <c r="V112" s="25">
        <v>44681</v>
      </c>
      <c r="W112" s="5" t="s">
        <v>723</v>
      </c>
      <c r="Y112" s="5" t="s">
        <v>190</v>
      </c>
      <c r="Z112" s="5" t="s">
        <v>104</v>
      </c>
      <c r="AA112" s="5" t="s">
        <v>104</v>
      </c>
      <c r="AB112" s="5">
        <v>24</v>
      </c>
      <c r="AC112" s="5" t="s">
        <v>728</v>
      </c>
      <c r="AD112" s="28">
        <v>133</v>
      </c>
      <c r="AE112" s="5">
        <v>136</v>
      </c>
      <c r="AF112" s="5">
        <v>6.1</v>
      </c>
      <c r="AG112" s="5">
        <v>22</v>
      </c>
      <c r="AH112" s="5">
        <v>28</v>
      </c>
      <c r="AI112" s="5">
        <v>27</v>
      </c>
      <c r="AJ112" s="5">
        <v>28</v>
      </c>
      <c r="AK112" s="5">
        <v>60</v>
      </c>
      <c r="AL112" s="5">
        <v>23</v>
      </c>
      <c r="AM112" s="5">
        <v>3</v>
      </c>
      <c r="AN112" s="5">
        <v>34</v>
      </c>
      <c r="AO112" s="5">
        <v>34</v>
      </c>
      <c r="AP112" s="5">
        <v>18</v>
      </c>
      <c r="AQ112" s="23">
        <v>6</v>
      </c>
      <c r="AR112" s="5">
        <v>5.34</v>
      </c>
      <c r="AT112" s="23"/>
      <c r="AU112" s="5">
        <v>1258</v>
      </c>
      <c r="AV112" s="5">
        <v>377.76</v>
      </c>
      <c r="AX112" s="5" t="s">
        <v>729</v>
      </c>
      <c r="AY112" s="28">
        <v>40</v>
      </c>
      <c r="AZ112" s="5">
        <v>41</v>
      </c>
      <c r="BA112" s="5">
        <v>14.4</v>
      </c>
      <c r="BB112" s="5">
        <v>15.3</v>
      </c>
      <c r="BC112" s="23">
        <v>4.8499999999999996</v>
      </c>
      <c r="BD112" s="5">
        <v>2.4300000000000002</v>
      </c>
      <c r="BE112" s="5">
        <v>1.36</v>
      </c>
      <c r="BF112" s="5">
        <v>1.44</v>
      </c>
      <c r="BG112" s="5">
        <v>84</v>
      </c>
      <c r="BH112" s="5">
        <v>69</v>
      </c>
      <c r="BI112" s="5">
        <v>7.7</v>
      </c>
      <c r="BJ112" s="5">
        <v>4.8</v>
      </c>
      <c r="BK112" s="5">
        <v>109</v>
      </c>
      <c r="BL112" s="5">
        <v>74</v>
      </c>
      <c r="BM112" s="5">
        <v>84</v>
      </c>
      <c r="BN112" s="5">
        <v>15.3</v>
      </c>
      <c r="BP112" s="5">
        <v>5.3</v>
      </c>
      <c r="BR112" s="5">
        <v>10.199999999999999</v>
      </c>
      <c r="BS112" s="5">
        <v>67.5</v>
      </c>
      <c r="BT112" s="5">
        <v>52.4</v>
      </c>
      <c r="BU112" s="5">
        <v>48.2</v>
      </c>
      <c r="BV112" s="5">
        <v>36.4</v>
      </c>
      <c r="BW112" s="5">
        <v>8.1</v>
      </c>
      <c r="BX112" s="5">
        <v>12.5</v>
      </c>
    </row>
    <row r="113" spans="1:77" s="5" customFormat="1" x14ac:dyDescent="0.35">
      <c r="A113" s="5">
        <v>1</v>
      </c>
      <c r="B113" s="23">
        <v>476</v>
      </c>
      <c r="C113" s="5" t="s">
        <v>730</v>
      </c>
      <c r="D113" s="5">
        <v>74</v>
      </c>
      <c r="E113" s="23" t="s">
        <v>110</v>
      </c>
      <c r="F113" s="5" t="s">
        <v>731</v>
      </c>
      <c r="G113" s="5" t="s">
        <v>373</v>
      </c>
      <c r="H113" s="5" t="s">
        <v>82</v>
      </c>
      <c r="I113" s="5" t="s">
        <v>98</v>
      </c>
      <c r="J113" s="5" t="s">
        <v>732</v>
      </c>
      <c r="K113" s="5" t="s">
        <v>733</v>
      </c>
      <c r="M113" s="23"/>
      <c r="O113" s="23">
        <v>87</v>
      </c>
      <c r="P113" s="5">
        <v>92</v>
      </c>
      <c r="R113" s="5">
        <v>7</v>
      </c>
      <c r="S113" s="6">
        <v>44653</v>
      </c>
      <c r="T113" s="6">
        <v>44684</v>
      </c>
      <c r="U113" s="5">
        <v>31</v>
      </c>
      <c r="V113" s="25">
        <v>44684</v>
      </c>
      <c r="Z113" s="5" t="s">
        <v>104</v>
      </c>
      <c r="AA113" s="5" t="s">
        <v>104</v>
      </c>
      <c r="AB113" s="5">
        <v>31</v>
      </c>
      <c r="AD113" s="28">
        <v>131</v>
      </c>
      <c r="AE113" s="5">
        <v>144</v>
      </c>
      <c r="AF113" s="5">
        <v>7.9</v>
      </c>
      <c r="AG113" s="5">
        <v>12.5</v>
      </c>
      <c r="AH113" s="5">
        <v>24</v>
      </c>
      <c r="AI113" s="5">
        <v>8</v>
      </c>
      <c r="AJ113" s="5">
        <v>67</v>
      </c>
      <c r="AK113" s="5">
        <v>90</v>
      </c>
      <c r="AL113" s="5">
        <v>6</v>
      </c>
      <c r="AM113" s="5">
        <v>1</v>
      </c>
      <c r="AN113" s="5">
        <v>45</v>
      </c>
      <c r="AO113" s="5">
        <v>47</v>
      </c>
      <c r="AQ113" s="23">
        <v>9</v>
      </c>
      <c r="AT113" s="23"/>
      <c r="AX113" s="5" t="s">
        <v>410</v>
      </c>
      <c r="AY113" s="28"/>
      <c r="BC113" s="23"/>
      <c r="BG113" s="5">
        <v>79</v>
      </c>
      <c r="BH113" s="5">
        <v>60</v>
      </c>
      <c r="BI113" s="5">
        <v>6.4</v>
      </c>
      <c r="BJ113" s="5">
        <v>9</v>
      </c>
      <c r="BK113" s="5">
        <v>75</v>
      </c>
      <c r="BL113" s="5">
        <v>115</v>
      </c>
      <c r="BM113" s="5">
        <v>22.1</v>
      </c>
      <c r="BN113" s="5">
        <v>17</v>
      </c>
      <c r="BO113" s="5">
        <v>6.8</v>
      </c>
      <c r="BP113" s="5">
        <v>5.0999999999999996</v>
      </c>
      <c r="BQ113" s="5">
        <v>15.3</v>
      </c>
      <c r="BR113" s="5">
        <v>11.9</v>
      </c>
      <c r="BS113" s="5">
        <v>60.3</v>
      </c>
      <c r="BT113" s="5">
        <v>60.3</v>
      </c>
      <c r="BU113" s="5">
        <v>36.200000000000003</v>
      </c>
      <c r="BV113" s="5">
        <v>36.200000000000003</v>
      </c>
      <c r="BW113" s="5">
        <v>8</v>
      </c>
      <c r="BX113" s="5">
        <v>8.4</v>
      </c>
      <c r="BY113" s="5" t="s">
        <v>734</v>
      </c>
    </row>
    <row r="114" spans="1:77" s="5" customFormat="1" x14ac:dyDescent="0.35">
      <c r="A114" s="5">
        <v>1</v>
      </c>
      <c r="B114" s="23">
        <v>308</v>
      </c>
      <c r="C114" s="5" t="s">
        <v>735</v>
      </c>
      <c r="D114" s="5">
        <v>79</v>
      </c>
      <c r="E114" s="23" t="s">
        <v>110</v>
      </c>
      <c r="F114" s="5" t="s">
        <v>736</v>
      </c>
      <c r="G114" s="5" t="s">
        <v>373</v>
      </c>
      <c r="H114" s="5" t="s">
        <v>82</v>
      </c>
      <c r="I114" s="5" t="s">
        <v>98</v>
      </c>
      <c r="J114" s="5" t="s">
        <v>737</v>
      </c>
      <c r="K114" s="5" t="s">
        <v>738</v>
      </c>
      <c r="M114" s="23"/>
      <c r="O114" s="23">
        <v>79</v>
      </c>
      <c r="P114" s="5">
        <v>94</v>
      </c>
      <c r="R114" s="5">
        <v>10</v>
      </c>
      <c r="S114" s="6">
        <v>44656</v>
      </c>
      <c r="T114" s="6">
        <v>44664</v>
      </c>
      <c r="U114" s="5">
        <v>8</v>
      </c>
      <c r="V114" s="25">
        <v>44664</v>
      </c>
      <c r="Z114" s="5" t="s">
        <v>170</v>
      </c>
      <c r="AA114" s="5" t="s">
        <v>170</v>
      </c>
      <c r="AB114" s="5">
        <v>8</v>
      </c>
      <c r="AC114" s="5" t="s">
        <v>739</v>
      </c>
      <c r="AD114" s="28">
        <v>111</v>
      </c>
      <c r="AF114" s="5">
        <v>6.1</v>
      </c>
      <c r="AH114" s="5">
        <v>44</v>
      </c>
      <c r="AJ114" s="5">
        <v>41</v>
      </c>
      <c r="AL114" s="5">
        <v>13</v>
      </c>
      <c r="AN114" s="5">
        <v>60</v>
      </c>
      <c r="AQ114" s="23"/>
      <c r="AT114" s="23"/>
      <c r="AU114" s="5">
        <v>3.47</v>
      </c>
      <c r="AY114" s="28">
        <v>37</v>
      </c>
      <c r="AZ114" s="5">
        <v>42</v>
      </c>
      <c r="BA114" s="5">
        <v>15.5</v>
      </c>
      <c r="BB114" s="5">
        <v>17.399999999999999</v>
      </c>
      <c r="BC114" s="23">
        <v>4.41</v>
      </c>
      <c r="BD114" s="5">
        <v>4.68</v>
      </c>
      <c r="BE114" s="5">
        <v>1.46</v>
      </c>
      <c r="BF114" s="5">
        <v>1.62</v>
      </c>
      <c r="BG114" s="5">
        <v>75</v>
      </c>
      <c r="BH114" s="5">
        <v>79</v>
      </c>
      <c r="BI114" s="5">
        <v>7</v>
      </c>
      <c r="BJ114" s="5">
        <v>13.2</v>
      </c>
      <c r="BK114" s="5">
        <v>99</v>
      </c>
      <c r="BL114" s="5">
        <v>192</v>
      </c>
      <c r="BN114" s="5">
        <v>22.1</v>
      </c>
      <c r="BP114" s="5">
        <v>6.8</v>
      </c>
      <c r="BR114" s="5">
        <v>15.3</v>
      </c>
      <c r="BS114" s="5">
        <v>90.4</v>
      </c>
      <c r="BT114" s="5">
        <v>97.7</v>
      </c>
      <c r="BU114" s="5">
        <v>66.400000000000006</v>
      </c>
      <c r="BV114" s="5">
        <v>72.400000000000006</v>
      </c>
      <c r="BW114" s="5">
        <v>8.8000000000000007</v>
      </c>
      <c r="BX114" s="5">
        <v>8.6999999999999993</v>
      </c>
    </row>
    <row r="115" spans="1:77" s="5" customFormat="1" x14ac:dyDescent="0.35">
      <c r="A115" s="5">
        <v>1</v>
      </c>
      <c r="B115" s="23">
        <v>2758</v>
      </c>
      <c r="C115" s="5" t="s">
        <v>740</v>
      </c>
      <c r="D115" s="5">
        <v>60</v>
      </c>
      <c r="E115" s="23" t="s">
        <v>110</v>
      </c>
      <c r="F115" s="5" t="s">
        <v>741</v>
      </c>
      <c r="G115" s="5" t="s">
        <v>373</v>
      </c>
      <c r="H115" s="5" t="s">
        <v>82</v>
      </c>
      <c r="I115" s="5" t="s">
        <v>98</v>
      </c>
      <c r="J115" s="5" t="s">
        <v>428</v>
      </c>
      <c r="K115" s="5" t="s">
        <v>742</v>
      </c>
      <c r="M115" s="23"/>
      <c r="O115" s="23">
        <v>80</v>
      </c>
      <c r="P115" s="5">
        <v>95</v>
      </c>
      <c r="R115" s="5">
        <v>10</v>
      </c>
      <c r="S115" s="6">
        <v>44611</v>
      </c>
      <c r="T115" s="6">
        <v>44634</v>
      </c>
      <c r="U115" s="5">
        <v>23</v>
      </c>
      <c r="V115" s="25">
        <v>44635</v>
      </c>
      <c r="W115" s="5" t="s">
        <v>723</v>
      </c>
      <c r="Y115" s="5" t="s">
        <v>207</v>
      </c>
      <c r="Z115" s="5" t="s">
        <v>572</v>
      </c>
      <c r="AA115" s="5" t="s">
        <v>104</v>
      </c>
      <c r="AB115" s="5">
        <v>23</v>
      </c>
      <c r="AC115" s="5" t="s">
        <v>743</v>
      </c>
      <c r="AD115" s="28">
        <v>156</v>
      </c>
      <c r="AE115" s="5">
        <v>171</v>
      </c>
      <c r="AF115" s="5">
        <v>11.8</v>
      </c>
      <c r="AG115" s="5">
        <v>11</v>
      </c>
      <c r="AH115" s="5">
        <v>9</v>
      </c>
      <c r="AI115" s="5">
        <v>17</v>
      </c>
      <c r="AJ115" s="5">
        <v>73</v>
      </c>
      <c r="AK115" s="5">
        <v>70</v>
      </c>
      <c r="AL115" s="5">
        <v>14</v>
      </c>
      <c r="AM115" s="5">
        <v>7</v>
      </c>
      <c r="AN115" s="5">
        <v>28</v>
      </c>
      <c r="AO115" s="5">
        <v>14</v>
      </c>
      <c r="AP115" s="5">
        <v>8</v>
      </c>
      <c r="AQ115" s="23">
        <v>6</v>
      </c>
      <c r="AR115" s="5">
        <v>19.899999999999999</v>
      </c>
      <c r="AT115" s="23"/>
      <c r="AU115" s="5">
        <v>7144</v>
      </c>
      <c r="AX115" s="5">
        <v>4.2999999999999997E-2</v>
      </c>
      <c r="AY115" s="28">
        <v>42</v>
      </c>
      <c r="AZ115" s="5">
        <v>57</v>
      </c>
      <c r="BA115" s="5">
        <v>14.9</v>
      </c>
      <c r="BB115" s="5">
        <v>14.2</v>
      </c>
      <c r="BC115" s="23">
        <v>3.8</v>
      </c>
      <c r="BD115" s="5">
        <v>5.0599999999999996</v>
      </c>
      <c r="BE115" s="5">
        <v>1.45</v>
      </c>
      <c r="BF115" s="5">
        <v>1.38</v>
      </c>
      <c r="BG115" s="5">
        <v>62</v>
      </c>
      <c r="BH115" s="5">
        <v>62</v>
      </c>
      <c r="BI115" s="5">
        <v>7.8</v>
      </c>
      <c r="BJ115" s="5">
        <v>7.2</v>
      </c>
      <c r="BK115" s="5">
        <v>102</v>
      </c>
      <c r="BL115" s="5">
        <v>90</v>
      </c>
      <c r="BM115" s="5">
        <v>15.3</v>
      </c>
      <c r="BN115" s="5">
        <v>25.5</v>
      </c>
      <c r="BO115" s="5">
        <v>5.0999999999999996</v>
      </c>
      <c r="BP115" s="5">
        <v>9.4</v>
      </c>
      <c r="BQ115" s="5">
        <v>10.199999999999999</v>
      </c>
      <c r="BR115" s="5">
        <v>16.100000000000001</v>
      </c>
      <c r="BS115" s="5">
        <v>45.2</v>
      </c>
      <c r="BT115" s="5">
        <v>45.2</v>
      </c>
      <c r="BU115" s="5">
        <v>30.2</v>
      </c>
      <c r="BV115" s="5">
        <v>30.2</v>
      </c>
      <c r="BW115" s="5">
        <v>4.5</v>
      </c>
      <c r="BX115" s="5">
        <v>3.8</v>
      </c>
      <c r="BY115" s="5" t="s">
        <v>744</v>
      </c>
    </row>
    <row r="116" spans="1:77" s="5" customFormat="1" x14ac:dyDescent="0.35">
      <c r="A116" s="5">
        <v>1</v>
      </c>
      <c r="B116" s="23">
        <v>752</v>
      </c>
      <c r="C116" s="5" t="s">
        <v>745</v>
      </c>
      <c r="D116" s="5">
        <v>69</v>
      </c>
      <c r="E116" s="23" t="s">
        <v>79</v>
      </c>
      <c r="F116" s="5" t="s">
        <v>746</v>
      </c>
      <c r="G116" s="5" t="s">
        <v>373</v>
      </c>
      <c r="H116" s="5" t="s">
        <v>82</v>
      </c>
      <c r="I116" s="5" t="s">
        <v>98</v>
      </c>
      <c r="J116" s="5" t="s">
        <v>428</v>
      </c>
      <c r="K116" s="5" t="s">
        <v>747</v>
      </c>
      <c r="M116" s="23"/>
      <c r="O116" s="23">
        <v>85</v>
      </c>
      <c r="P116" s="5">
        <v>92</v>
      </c>
      <c r="R116" s="5">
        <v>5</v>
      </c>
      <c r="S116" s="6">
        <v>44591</v>
      </c>
      <c r="T116" s="6">
        <v>44606</v>
      </c>
      <c r="U116" s="5">
        <v>15</v>
      </c>
      <c r="V116" s="25">
        <v>44607</v>
      </c>
      <c r="X116" s="5" t="s">
        <v>748</v>
      </c>
      <c r="Z116" s="5" t="s">
        <v>104</v>
      </c>
      <c r="AA116" s="5" t="s">
        <v>104</v>
      </c>
      <c r="AB116" s="5">
        <v>15</v>
      </c>
      <c r="AC116" s="5" t="s">
        <v>696</v>
      </c>
      <c r="AD116" s="28">
        <v>106</v>
      </c>
      <c r="AE116" s="5">
        <v>91</v>
      </c>
      <c r="AF116" s="5">
        <v>7.3</v>
      </c>
      <c r="AG116" s="5">
        <v>21</v>
      </c>
      <c r="AH116" s="5">
        <v>17</v>
      </c>
      <c r="AI116" s="5">
        <v>1</v>
      </c>
      <c r="AJ116" s="5">
        <v>68</v>
      </c>
      <c r="AK116" s="5">
        <v>89</v>
      </c>
      <c r="AL116" s="5">
        <v>14</v>
      </c>
      <c r="AM116" s="5">
        <v>7</v>
      </c>
      <c r="AN116" s="5">
        <v>34</v>
      </c>
      <c r="AO116" s="5">
        <v>21</v>
      </c>
      <c r="AP116" s="5">
        <v>18</v>
      </c>
      <c r="AQ116" s="23">
        <v>9</v>
      </c>
      <c r="AT116" s="23"/>
      <c r="AU116" s="5">
        <v>3497</v>
      </c>
      <c r="AX116" s="5" t="s">
        <v>410</v>
      </c>
      <c r="AY116" s="28">
        <v>37</v>
      </c>
      <c r="AZ116" s="5">
        <v>30</v>
      </c>
      <c r="BA116" s="5">
        <v>13.2</v>
      </c>
      <c r="BB116" s="5">
        <v>25.6</v>
      </c>
      <c r="BC116" s="23">
        <v>5.96</v>
      </c>
      <c r="BD116" s="5">
        <v>3.6</v>
      </c>
      <c r="BE116" s="5">
        <v>1.26</v>
      </c>
      <c r="BF116" s="5">
        <v>2.29</v>
      </c>
      <c r="BG116" s="5">
        <v>61.7</v>
      </c>
      <c r="BH116" s="5">
        <v>63</v>
      </c>
      <c r="BI116" s="5">
        <v>10</v>
      </c>
      <c r="BJ116" s="5">
        <v>35</v>
      </c>
      <c r="BK116" s="5">
        <v>127</v>
      </c>
      <c r="BL116" s="5">
        <v>680</v>
      </c>
      <c r="BM116" s="5">
        <v>15.6</v>
      </c>
      <c r="BN116" s="5">
        <v>11.9</v>
      </c>
      <c r="BO116" s="5">
        <v>5.0999999999999996</v>
      </c>
      <c r="BP116" s="5">
        <v>3.4</v>
      </c>
      <c r="BQ116" s="5">
        <v>5.0999999999999996</v>
      </c>
      <c r="BR116" s="5">
        <v>10.199999999999999</v>
      </c>
      <c r="BS116" s="5">
        <v>43.3</v>
      </c>
      <c r="BT116" s="5">
        <v>241</v>
      </c>
      <c r="BU116" s="5">
        <v>30.2</v>
      </c>
      <c r="BV116" s="5">
        <v>120.6</v>
      </c>
      <c r="BW116" s="5">
        <v>21</v>
      </c>
      <c r="BX116" s="5">
        <v>10</v>
      </c>
      <c r="BY116" s="5" t="s">
        <v>749</v>
      </c>
    </row>
    <row r="117" spans="1:77" s="5" customFormat="1" x14ac:dyDescent="0.35">
      <c r="A117" s="5">
        <v>1</v>
      </c>
      <c r="B117" s="23">
        <v>67</v>
      </c>
      <c r="C117" s="5" t="s">
        <v>750</v>
      </c>
      <c r="D117" s="5">
        <v>54</v>
      </c>
      <c r="E117" s="23" t="s">
        <v>79</v>
      </c>
      <c r="F117" s="5" t="s">
        <v>751</v>
      </c>
      <c r="G117" s="5" t="s">
        <v>373</v>
      </c>
      <c r="H117" s="5" t="s">
        <v>82</v>
      </c>
      <c r="I117" s="5" t="s">
        <v>98</v>
      </c>
      <c r="J117" s="5" t="s">
        <v>428</v>
      </c>
      <c r="K117" s="5" t="s">
        <v>752</v>
      </c>
      <c r="L117" s="7">
        <v>0.25</v>
      </c>
      <c r="M117" s="23" t="s">
        <v>167</v>
      </c>
      <c r="O117" s="23">
        <v>78</v>
      </c>
      <c r="P117" s="5">
        <v>95</v>
      </c>
      <c r="R117" s="5">
        <v>7</v>
      </c>
      <c r="S117" s="6">
        <v>44652</v>
      </c>
      <c r="T117" s="6">
        <v>44660</v>
      </c>
      <c r="U117" s="5">
        <v>8</v>
      </c>
      <c r="V117" s="25">
        <v>44661</v>
      </c>
      <c r="X117" s="5" t="s">
        <v>416</v>
      </c>
      <c r="Y117" s="5" t="s">
        <v>207</v>
      </c>
      <c r="Z117" s="5" t="s">
        <v>104</v>
      </c>
      <c r="AA117" s="5" t="s">
        <v>104</v>
      </c>
      <c r="AB117" s="5">
        <v>8</v>
      </c>
      <c r="AC117" s="5" t="s">
        <v>753</v>
      </c>
      <c r="AD117" s="28">
        <v>133</v>
      </c>
      <c r="AE117" s="5">
        <v>137</v>
      </c>
      <c r="AF117" s="5">
        <v>16.100000000000001</v>
      </c>
      <c r="AG117" s="5">
        <v>19.600000000000001</v>
      </c>
      <c r="AH117" s="5">
        <v>19</v>
      </c>
      <c r="AI117" s="5">
        <v>26</v>
      </c>
      <c r="AJ117" s="5">
        <v>77</v>
      </c>
      <c r="AK117" s="5">
        <v>70</v>
      </c>
      <c r="AL117" s="5">
        <v>2</v>
      </c>
      <c r="AM117" s="5">
        <v>2</v>
      </c>
      <c r="AN117" s="5">
        <v>16</v>
      </c>
      <c r="AO117" s="5">
        <v>16</v>
      </c>
      <c r="AP117" s="5">
        <v>6</v>
      </c>
      <c r="AQ117" s="23">
        <v>18</v>
      </c>
      <c r="AT117" s="23"/>
      <c r="AU117" s="5">
        <v>9353</v>
      </c>
      <c r="AX117" s="5" t="s">
        <v>410</v>
      </c>
      <c r="AY117" s="28">
        <v>40</v>
      </c>
      <c r="BA117" s="5">
        <v>14.1</v>
      </c>
      <c r="BC117" s="23">
        <v>3.64</v>
      </c>
      <c r="BE117" s="5">
        <v>1.34</v>
      </c>
      <c r="BG117" s="5">
        <v>56</v>
      </c>
      <c r="BH117" s="5">
        <v>52</v>
      </c>
      <c r="BI117" s="5">
        <v>7.5</v>
      </c>
      <c r="BJ117" s="5">
        <v>7.2</v>
      </c>
      <c r="BK117" s="5">
        <v>104</v>
      </c>
      <c r="BL117" s="5">
        <v>110</v>
      </c>
      <c r="BM117" s="5">
        <v>17</v>
      </c>
      <c r="BN117" s="5">
        <v>17.2</v>
      </c>
      <c r="BO117" s="5">
        <v>5.2</v>
      </c>
      <c r="BP117" s="5">
        <v>5.0999999999999996</v>
      </c>
      <c r="BQ117" s="5">
        <v>11.9</v>
      </c>
      <c r="BR117" s="5">
        <v>11.3</v>
      </c>
      <c r="BT117" s="5">
        <v>60.2</v>
      </c>
      <c r="BV117" s="5">
        <v>36.200000000000003</v>
      </c>
      <c r="BW117" s="5">
        <v>11.8</v>
      </c>
      <c r="BX117" s="5">
        <v>9</v>
      </c>
    </row>
    <row r="118" spans="1:77" s="5" customFormat="1" x14ac:dyDescent="0.35">
      <c r="A118" s="5">
        <v>1</v>
      </c>
      <c r="B118" s="23">
        <v>2153</v>
      </c>
      <c r="C118" s="5" t="s">
        <v>754</v>
      </c>
      <c r="D118" s="5">
        <v>81</v>
      </c>
      <c r="E118" s="23" t="s">
        <v>79</v>
      </c>
      <c r="F118" s="5" t="s">
        <v>755</v>
      </c>
      <c r="G118" s="5" t="s">
        <v>373</v>
      </c>
      <c r="H118" s="5" t="s">
        <v>82</v>
      </c>
      <c r="I118" s="5" t="s">
        <v>98</v>
      </c>
      <c r="J118" s="5" t="s">
        <v>428</v>
      </c>
      <c r="K118" s="5" t="s">
        <v>756</v>
      </c>
      <c r="M118" s="23"/>
      <c r="O118" s="23">
        <v>72</v>
      </c>
      <c r="P118" s="5">
        <v>96</v>
      </c>
      <c r="R118" s="5">
        <v>7</v>
      </c>
      <c r="S118" s="6">
        <v>44666</v>
      </c>
      <c r="T118" s="6">
        <v>44673</v>
      </c>
      <c r="U118" s="5">
        <v>7</v>
      </c>
      <c r="V118" s="25">
        <v>44674</v>
      </c>
      <c r="X118" s="5" t="s">
        <v>757</v>
      </c>
      <c r="Z118" s="5" t="s">
        <v>104</v>
      </c>
      <c r="AA118" s="5" t="s">
        <v>104</v>
      </c>
      <c r="AB118" s="5">
        <v>7</v>
      </c>
      <c r="AC118" s="5" t="s">
        <v>758</v>
      </c>
      <c r="AD118" s="28">
        <v>123</v>
      </c>
      <c r="AF118" s="5">
        <v>5.0999999999999996</v>
      </c>
      <c r="AH118" s="5">
        <v>16</v>
      </c>
      <c r="AJ118" s="5">
        <v>70</v>
      </c>
      <c r="AL118" s="5">
        <v>12</v>
      </c>
      <c r="AN118" s="5">
        <v>44</v>
      </c>
      <c r="AP118" s="5">
        <v>12</v>
      </c>
      <c r="AQ118" s="23"/>
      <c r="AT118" s="23"/>
      <c r="AU118" s="5">
        <v>10000</v>
      </c>
      <c r="AX118" s="5" t="s">
        <v>410</v>
      </c>
      <c r="AY118" s="28">
        <v>40</v>
      </c>
      <c r="BA118" s="5">
        <v>25.2</v>
      </c>
      <c r="BC118" s="23">
        <v>7.8</v>
      </c>
      <c r="BE118" s="5">
        <v>2.25</v>
      </c>
      <c r="BG118" s="5">
        <v>68</v>
      </c>
      <c r="BI118" s="5">
        <v>5.2</v>
      </c>
      <c r="BK118" s="5">
        <v>79</v>
      </c>
      <c r="BM118" s="5">
        <v>18.7</v>
      </c>
      <c r="BO118" s="5">
        <v>6.8</v>
      </c>
      <c r="BQ118" s="5">
        <v>11.9</v>
      </c>
      <c r="BS118" s="5">
        <v>30.2</v>
      </c>
      <c r="BU118" s="5">
        <v>18.100000000000001</v>
      </c>
      <c r="BW118" s="5">
        <v>5.5</v>
      </c>
    </row>
    <row r="119" spans="1:77" s="5" customFormat="1" x14ac:dyDescent="0.35">
      <c r="A119" s="5">
        <v>1</v>
      </c>
      <c r="B119" s="23">
        <v>2714</v>
      </c>
      <c r="C119" s="5" t="s">
        <v>759</v>
      </c>
      <c r="D119" s="5">
        <v>65</v>
      </c>
      <c r="E119" s="23" t="s">
        <v>110</v>
      </c>
      <c r="F119" s="5" t="s">
        <v>760</v>
      </c>
      <c r="G119" s="5" t="s">
        <v>373</v>
      </c>
      <c r="H119" s="5" t="s">
        <v>82</v>
      </c>
      <c r="I119" s="5" t="s">
        <v>98</v>
      </c>
      <c r="J119" s="5" t="s">
        <v>428</v>
      </c>
      <c r="K119" s="5" t="s">
        <v>761</v>
      </c>
      <c r="M119" s="23"/>
      <c r="O119" s="23">
        <v>70</v>
      </c>
      <c r="P119" s="5">
        <v>97</v>
      </c>
      <c r="R119" s="5">
        <v>5</v>
      </c>
      <c r="S119" s="6">
        <v>44680</v>
      </c>
      <c r="T119" s="6">
        <v>44684</v>
      </c>
      <c r="U119" s="5">
        <v>4</v>
      </c>
      <c r="V119" s="25">
        <v>44685</v>
      </c>
      <c r="X119" s="5" t="s">
        <v>762</v>
      </c>
      <c r="Z119" s="5" t="s">
        <v>104</v>
      </c>
      <c r="AA119" s="5" t="s">
        <v>104</v>
      </c>
      <c r="AB119" s="5">
        <v>10</v>
      </c>
      <c r="AC119" s="5" t="s">
        <v>763</v>
      </c>
      <c r="AD119" s="28">
        <v>42</v>
      </c>
      <c r="AF119" s="5">
        <v>4.9000000000000004</v>
      </c>
      <c r="AH119" s="5">
        <v>9</v>
      </c>
      <c r="AJ119" s="5">
        <v>76</v>
      </c>
      <c r="AL119" s="5">
        <v>1</v>
      </c>
      <c r="AN119" s="5">
        <v>30</v>
      </c>
      <c r="AP119" s="5">
        <v>8</v>
      </c>
      <c r="AQ119" s="23"/>
      <c r="AT119" s="23"/>
      <c r="AU119" s="5">
        <v>10000</v>
      </c>
      <c r="AX119" s="5" t="s">
        <v>410</v>
      </c>
      <c r="AY119" s="28">
        <v>12</v>
      </c>
      <c r="BA119" s="5">
        <v>14</v>
      </c>
      <c r="BC119" s="23">
        <v>2.04</v>
      </c>
      <c r="BE119" s="5">
        <v>1.34</v>
      </c>
      <c r="BG119" s="5">
        <v>54</v>
      </c>
      <c r="BI119" s="5">
        <v>9.1</v>
      </c>
      <c r="BK119" s="5">
        <v>143</v>
      </c>
      <c r="BS119" s="5">
        <v>45</v>
      </c>
      <c r="BT119" s="5">
        <v>36.200000000000003</v>
      </c>
      <c r="BW119" s="5">
        <v>8.6999999999999993</v>
      </c>
    </row>
    <row r="120" spans="1:77" s="5" customFormat="1" x14ac:dyDescent="0.35">
      <c r="A120" s="5">
        <v>1</v>
      </c>
      <c r="B120" s="23">
        <v>816</v>
      </c>
      <c r="C120" s="5" t="s">
        <v>764</v>
      </c>
      <c r="D120" s="5">
        <v>52</v>
      </c>
      <c r="E120" s="23" t="s">
        <v>110</v>
      </c>
      <c r="F120" s="5" t="s">
        <v>765</v>
      </c>
      <c r="G120" s="5" t="s">
        <v>373</v>
      </c>
      <c r="H120" s="5" t="s">
        <v>82</v>
      </c>
      <c r="I120" s="5" t="s">
        <v>98</v>
      </c>
      <c r="J120" s="5" t="s">
        <v>766</v>
      </c>
      <c r="K120" s="5" t="s">
        <v>767</v>
      </c>
      <c r="M120" s="23"/>
      <c r="O120" s="23">
        <v>87</v>
      </c>
      <c r="P120" s="5">
        <v>98</v>
      </c>
      <c r="R120" s="5">
        <v>7</v>
      </c>
      <c r="S120" s="6">
        <v>44683</v>
      </c>
      <c r="T120" s="6">
        <v>44702</v>
      </c>
      <c r="U120" s="5">
        <v>19</v>
      </c>
      <c r="V120" s="25">
        <v>44703</v>
      </c>
      <c r="W120" s="5" t="s">
        <v>768</v>
      </c>
      <c r="X120" s="5" t="s">
        <v>769</v>
      </c>
      <c r="Z120" s="5" t="s">
        <v>104</v>
      </c>
      <c r="AA120" s="5" t="s">
        <v>104</v>
      </c>
      <c r="AB120" s="5">
        <v>15</v>
      </c>
      <c r="AC120" s="5" t="s">
        <v>724</v>
      </c>
      <c r="AD120" s="28">
        <v>78</v>
      </c>
      <c r="AE120" s="5">
        <v>62</v>
      </c>
      <c r="AF120" s="5">
        <v>4.0999999999999996</v>
      </c>
      <c r="AG120" s="5">
        <v>12.1</v>
      </c>
      <c r="AH120" s="5">
        <v>10</v>
      </c>
      <c r="AI120" s="5">
        <v>20</v>
      </c>
      <c r="AJ120" s="5">
        <v>82</v>
      </c>
      <c r="AK120" s="5">
        <v>74</v>
      </c>
      <c r="AL120" s="5">
        <v>3</v>
      </c>
      <c r="AM120" s="5">
        <v>3</v>
      </c>
      <c r="AN120" s="5">
        <v>29</v>
      </c>
      <c r="AO120" s="5">
        <v>57</v>
      </c>
      <c r="AP120" s="5">
        <v>18</v>
      </c>
      <c r="AQ120" s="23">
        <v>12</v>
      </c>
      <c r="AT120" s="23"/>
      <c r="AU120" s="5">
        <v>1436</v>
      </c>
      <c r="AV120" s="5">
        <v>392</v>
      </c>
      <c r="AX120" s="5" t="s">
        <v>410</v>
      </c>
      <c r="AY120" s="28">
        <v>10</v>
      </c>
      <c r="AZ120" s="5">
        <v>19</v>
      </c>
      <c r="BA120" s="5">
        <v>33.5</v>
      </c>
      <c r="BB120" s="5">
        <v>10.6</v>
      </c>
      <c r="BC120" s="23">
        <v>5.7</v>
      </c>
      <c r="BD120" s="5">
        <v>4.42</v>
      </c>
      <c r="BE120" s="5">
        <v>1.03</v>
      </c>
      <c r="BF120" s="5">
        <v>1.04</v>
      </c>
      <c r="BG120" s="5">
        <v>57</v>
      </c>
      <c r="BH120" s="5">
        <v>52</v>
      </c>
      <c r="BI120" s="5">
        <v>4.9000000000000004</v>
      </c>
      <c r="BJ120" s="5">
        <v>6</v>
      </c>
      <c r="BK120" s="5">
        <v>76</v>
      </c>
      <c r="BL120" s="5">
        <v>90</v>
      </c>
      <c r="BM120" s="5">
        <v>11.9</v>
      </c>
      <c r="BN120" s="5">
        <v>13.6</v>
      </c>
      <c r="BO120" s="5">
        <v>3.4</v>
      </c>
      <c r="BP120" s="5">
        <v>3.4</v>
      </c>
      <c r="BQ120" s="5">
        <v>17.5</v>
      </c>
      <c r="BR120" s="5">
        <v>10.199999999999999</v>
      </c>
      <c r="BS120" s="5">
        <v>82.6</v>
      </c>
      <c r="BT120" s="5">
        <v>52.4</v>
      </c>
      <c r="BU120" s="5">
        <v>54.3</v>
      </c>
      <c r="BV120" s="5">
        <v>42.2</v>
      </c>
      <c r="BW120" s="5">
        <v>10.4</v>
      </c>
      <c r="BX120" s="5">
        <v>15.2</v>
      </c>
      <c r="BY120" s="5" t="s">
        <v>770</v>
      </c>
    </row>
    <row r="121" spans="1:77" s="5" customFormat="1" x14ac:dyDescent="0.35">
      <c r="A121" s="5">
        <v>1</v>
      </c>
      <c r="B121" s="23">
        <v>1753</v>
      </c>
      <c r="C121" s="5" t="s">
        <v>771</v>
      </c>
      <c r="D121" s="5">
        <v>73</v>
      </c>
      <c r="E121" s="23" t="s">
        <v>110</v>
      </c>
      <c r="F121" s="5" t="s">
        <v>772</v>
      </c>
      <c r="G121" s="5" t="s">
        <v>373</v>
      </c>
      <c r="H121" s="5" t="s">
        <v>82</v>
      </c>
      <c r="I121" s="5" t="s">
        <v>98</v>
      </c>
      <c r="J121" s="5" t="s">
        <v>773</v>
      </c>
      <c r="K121" s="5" t="s">
        <v>733</v>
      </c>
      <c r="M121" s="23"/>
      <c r="O121" s="23">
        <v>68</v>
      </c>
      <c r="P121" s="5">
        <v>92</v>
      </c>
      <c r="R121" s="5">
        <v>5</v>
      </c>
      <c r="S121" s="6">
        <v>44653</v>
      </c>
      <c r="T121" s="6">
        <v>44688</v>
      </c>
      <c r="U121" s="5">
        <v>15</v>
      </c>
      <c r="V121" s="25">
        <v>44688</v>
      </c>
      <c r="X121" s="5" t="s">
        <v>416</v>
      </c>
      <c r="Z121" s="5" t="s">
        <v>91</v>
      </c>
      <c r="AA121" s="5" t="s">
        <v>104</v>
      </c>
      <c r="AB121" s="5">
        <v>15</v>
      </c>
      <c r="AC121" s="5" t="s">
        <v>774</v>
      </c>
      <c r="AD121" s="28">
        <v>120</v>
      </c>
      <c r="AE121" s="5">
        <v>116</v>
      </c>
      <c r="AF121" s="5">
        <v>5</v>
      </c>
      <c r="AG121" s="5">
        <v>15.5</v>
      </c>
      <c r="AH121" s="5">
        <v>14</v>
      </c>
      <c r="AI121" s="5">
        <v>15</v>
      </c>
      <c r="AJ121" s="5">
        <v>73</v>
      </c>
      <c r="AK121" s="5">
        <v>85</v>
      </c>
      <c r="AL121" s="5">
        <v>8</v>
      </c>
      <c r="AM121" s="5">
        <v>1</v>
      </c>
      <c r="AN121" s="5">
        <v>62</v>
      </c>
      <c r="AO121" s="5">
        <v>19</v>
      </c>
      <c r="AP121" s="5">
        <v>32</v>
      </c>
      <c r="AQ121" s="23">
        <v>6</v>
      </c>
      <c r="AT121" s="23"/>
      <c r="AU121" s="5">
        <v>10000</v>
      </c>
      <c r="AV121" s="5">
        <v>3378</v>
      </c>
      <c r="AX121" s="5" t="s">
        <v>410</v>
      </c>
      <c r="AY121" s="28">
        <v>36</v>
      </c>
      <c r="AZ121" s="5">
        <v>34</v>
      </c>
      <c r="BA121" s="5">
        <v>13.4</v>
      </c>
      <c r="BB121" s="5">
        <v>12.9</v>
      </c>
      <c r="BC121" s="23">
        <v>6.37</v>
      </c>
      <c r="BD121" s="5">
        <v>4.3600000000000003</v>
      </c>
      <c r="BE121" s="5">
        <v>1.28</v>
      </c>
      <c r="BF121" s="5">
        <v>1.24</v>
      </c>
      <c r="BG121" s="5">
        <v>60</v>
      </c>
      <c r="BH121" s="5">
        <v>80</v>
      </c>
      <c r="BI121" s="5">
        <v>7.1</v>
      </c>
      <c r="BJ121" s="5">
        <v>6.4</v>
      </c>
      <c r="BK121" s="5">
        <v>98</v>
      </c>
      <c r="BL121" s="5">
        <v>97</v>
      </c>
      <c r="BM121" s="5">
        <v>18.7</v>
      </c>
      <c r="BN121" s="5">
        <v>11.9</v>
      </c>
      <c r="BO121" s="5">
        <v>6.8</v>
      </c>
      <c r="BP121" s="5">
        <v>3.4</v>
      </c>
      <c r="BQ121" s="5">
        <v>11.9</v>
      </c>
      <c r="BR121" s="5">
        <v>8.5</v>
      </c>
      <c r="BS121" s="5">
        <v>30.2</v>
      </c>
      <c r="BT121" s="5">
        <v>67.5</v>
      </c>
      <c r="BU121" s="5">
        <v>28.1</v>
      </c>
      <c r="BV121" s="5">
        <v>36.200000000000003</v>
      </c>
      <c r="BW121" s="5">
        <v>6.9</v>
      </c>
      <c r="BX121" s="5">
        <v>8.9</v>
      </c>
    </row>
    <row r="122" spans="1:77" s="5" customFormat="1" x14ac:dyDescent="0.35">
      <c r="A122" s="5">
        <v>1</v>
      </c>
      <c r="B122" s="23">
        <v>2845</v>
      </c>
      <c r="C122" s="5" t="s">
        <v>775</v>
      </c>
      <c r="D122" s="5">
        <v>64</v>
      </c>
      <c r="E122" s="23" t="s">
        <v>110</v>
      </c>
      <c r="F122" s="5" t="s">
        <v>776</v>
      </c>
      <c r="G122" s="5" t="s">
        <v>373</v>
      </c>
      <c r="H122" s="5" t="s">
        <v>82</v>
      </c>
      <c r="I122" s="5" t="s">
        <v>98</v>
      </c>
      <c r="J122" s="5" t="s">
        <v>732</v>
      </c>
      <c r="K122" s="5" t="s">
        <v>403</v>
      </c>
      <c r="M122" s="23"/>
      <c r="O122" s="23">
        <v>86</v>
      </c>
      <c r="P122" s="5">
        <v>95</v>
      </c>
      <c r="R122" s="5">
        <v>8</v>
      </c>
      <c r="S122" s="6">
        <v>44668</v>
      </c>
      <c r="T122" s="6">
        <v>44686</v>
      </c>
      <c r="U122" s="5">
        <v>18</v>
      </c>
      <c r="V122" s="25">
        <v>44687</v>
      </c>
      <c r="X122" s="5" t="s">
        <v>777</v>
      </c>
      <c r="Z122" s="5" t="s">
        <v>91</v>
      </c>
      <c r="AA122" s="5" t="s">
        <v>104</v>
      </c>
      <c r="AB122" s="5">
        <v>15</v>
      </c>
      <c r="AC122" s="5" t="s">
        <v>685</v>
      </c>
      <c r="AD122" s="28">
        <v>142</v>
      </c>
      <c r="AE122" s="5">
        <v>149</v>
      </c>
      <c r="AF122" s="5">
        <v>8.1999999999999993</v>
      </c>
      <c r="AG122" s="5">
        <v>17</v>
      </c>
      <c r="AH122" s="5">
        <v>12</v>
      </c>
      <c r="AI122" s="5">
        <v>6</v>
      </c>
      <c r="AJ122" s="5">
        <v>70</v>
      </c>
      <c r="AK122" s="5">
        <v>88</v>
      </c>
      <c r="AL122" s="5">
        <v>13</v>
      </c>
      <c r="AM122" s="5">
        <v>3</v>
      </c>
      <c r="AN122" s="5">
        <v>10</v>
      </c>
      <c r="AO122" s="5">
        <v>7</v>
      </c>
      <c r="AP122" s="5">
        <v>8</v>
      </c>
      <c r="AQ122" s="23">
        <v>6</v>
      </c>
      <c r="AT122" s="23"/>
      <c r="AU122" s="5">
        <v>10000</v>
      </c>
      <c r="AV122" s="5">
        <v>5478</v>
      </c>
      <c r="AX122" s="5" t="s">
        <v>410</v>
      </c>
      <c r="AY122" s="28">
        <v>42</v>
      </c>
      <c r="AZ122" s="5">
        <v>44</v>
      </c>
      <c r="BA122" s="5">
        <v>12.7</v>
      </c>
      <c r="BB122" s="5">
        <v>12.1</v>
      </c>
      <c r="BC122" s="23">
        <v>4.37</v>
      </c>
      <c r="BD122" s="5">
        <v>2.46</v>
      </c>
      <c r="BE122" s="5">
        <v>1.22</v>
      </c>
      <c r="BF122" s="5">
        <v>1.27</v>
      </c>
      <c r="BG122" s="5">
        <v>70</v>
      </c>
      <c r="BH122" s="5">
        <v>75</v>
      </c>
      <c r="BI122" s="5">
        <v>7.4</v>
      </c>
      <c r="BJ122" s="5">
        <v>8.1</v>
      </c>
      <c r="BK122" s="5">
        <v>94</v>
      </c>
      <c r="BL122" s="5">
        <v>120</v>
      </c>
      <c r="BM122" s="5">
        <v>11.9</v>
      </c>
      <c r="BN122" s="5">
        <v>17.5</v>
      </c>
      <c r="BO122" s="5">
        <v>3.4</v>
      </c>
      <c r="BP122" s="5">
        <v>5.0999999999999996</v>
      </c>
      <c r="BQ122" s="5">
        <v>8.5</v>
      </c>
      <c r="BR122" s="5">
        <v>11.9</v>
      </c>
      <c r="BS122" s="5">
        <v>45.2</v>
      </c>
      <c r="BT122" s="5">
        <v>90.4</v>
      </c>
      <c r="BU122" s="5">
        <v>30.2</v>
      </c>
      <c r="BV122" s="5">
        <v>30.2</v>
      </c>
      <c r="BW122" s="5">
        <v>5.6</v>
      </c>
      <c r="BX122" s="5">
        <v>5.2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zoomScaleNormal="100" workbookViewId="0">
      <selection activeCell="A20" sqref="A20"/>
    </sheetView>
  </sheetViews>
  <sheetFormatPr defaultColWidth="8.81640625" defaultRowHeight="14.5" x14ac:dyDescent="0.35"/>
  <cols>
    <col min="1" max="1" width="10" customWidth="1"/>
    <col min="2" max="2" width="29.453125" customWidth="1"/>
    <col min="3" max="3" width="11.81640625" customWidth="1"/>
    <col min="5" max="5" width="35.81640625" customWidth="1"/>
    <col min="6" max="6" width="28.453125" customWidth="1"/>
    <col min="7" max="7" width="10.1796875" customWidth="1"/>
    <col min="9" max="9" width="11.81640625" customWidth="1"/>
    <col min="10" max="10" width="51.81640625" customWidth="1"/>
    <col min="12" max="12" width="9.81640625" customWidth="1"/>
    <col min="13" max="13" width="45.6328125" customWidth="1"/>
    <col min="14" max="14" width="12" customWidth="1"/>
    <col min="15" max="15" width="10.36328125" customWidth="1"/>
    <col min="16" max="16" width="10.81640625" customWidth="1"/>
    <col min="17" max="17" width="13.36328125" customWidth="1"/>
    <col min="18" max="18" width="12" customWidth="1"/>
    <col min="19" max="19" width="10" customWidth="1"/>
    <col min="20" max="21" width="12.36328125" customWidth="1"/>
    <col min="22" max="22" width="22.81640625" customWidth="1"/>
    <col min="23" max="23" width="24.1796875" customWidth="1"/>
    <col min="24" max="24" width="26.453125" customWidth="1"/>
    <col min="28" max="28" width="94.36328125" customWidth="1"/>
    <col min="46" max="46" width="10.81640625" customWidth="1"/>
    <col min="49" max="49" width="14.6328125" customWidth="1"/>
    <col min="50" max="50" width="11.453125" customWidth="1"/>
    <col min="51" max="51" width="11.6328125" customWidth="1"/>
    <col min="76" max="76" width="54.81640625" customWidth="1"/>
  </cols>
  <sheetData>
    <row r="1" spans="1:3" x14ac:dyDescent="0.35">
      <c r="A1" s="4">
        <v>0.8</v>
      </c>
      <c r="B1">
        <v>2</v>
      </c>
      <c r="C1">
        <f>B1*A1</f>
        <v>1.6</v>
      </c>
    </row>
    <row r="2" spans="1:3" x14ac:dyDescent="0.35">
      <c r="A2">
        <v>80</v>
      </c>
      <c r="B2">
        <v>2</v>
      </c>
      <c r="C2">
        <f>B2*A2</f>
        <v>160</v>
      </c>
    </row>
    <row r="4" spans="1:3" x14ac:dyDescent="0.35">
      <c r="A4" t="s">
        <v>91</v>
      </c>
      <c r="B4">
        <v>50</v>
      </c>
    </row>
    <row r="5" spans="1:3" x14ac:dyDescent="0.35">
      <c r="A5" t="s">
        <v>778</v>
      </c>
      <c r="B5">
        <v>50</v>
      </c>
    </row>
    <row r="6" spans="1:3" x14ac:dyDescent="0.35">
      <c r="A6" t="s">
        <v>779</v>
      </c>
      <c r="B6">
        <v>10</v>
      </c>
    </row>
    <row r="8" spans="1:3" x14ac:dyDescent="0.35">
      <c r="A8">
        <v>12</v>
      </c>
    </row>
    <row r="9" spans="1:3" x14ac:dyDescent="0.35">
      <c r="A9" t="s">
        <v>780</v>
      </c>
    </row>
    <row r="10" spans="1:3" x14ac:dyDescent="0.35">
      <c r="A10">
        <v>12.4</v>
      </c>
      <c r="B10">
        <v>2</v>
      </c>
      <c r="C10">
        <f>A10*B10</f>
        <v>24.8</v>
      </c>
    </row>
    <row r="11" spans="1:3" x14ac:dyDescent="0.35">
      <c r="A11" t="s">
        <v>781</v>
      </c>
      <c r="B11">
        <v>2</v>
      </c>
      <c r="C11">
        <f>A11*B11</f>
        <v>246.8</v>
      </c>
    </row>
    <row r="12" spans="1:3" x14ac:dyDescent="0.35">
      <c r="A12" s="1">
        <v>44663</v>
      </c>
      <c r="B12">
        <v>2</v>
      </c>
      <c r="C12">
        <f>A12*B12</f>
        <v>89326</v>
      </c>
    </row>
    <row r="14" spans="1:3" x14ac:dyDescent="0.35">
      <c r="A14" s="18">
        <v>1.333333333333333</v>
      </c>
      <c r="B14">
        <v>1</v>
      </c>
      <c r="C14">
        <f>A14*B14</f>
        <v>1.333333333333333</v>
      </c>
    </row>
    <row r="15" spans="1:3" x14ac:dyDescent="0.35">
      <c r="A15" s="21">
        <v>0.33333333333333298</v>
      </c>
      <c r="B15">
        <v>1</v>
      </c>
      <c r="C15">
        <f>A15*B15</f>
        <v>0.33333333333333298</v>
      </c>
    </row>
    <row r="17" spans="1:1" x14ac:dyDescent="0.35">
      <c r="A17" s="19" t="s">
        <v>782</v>
      </c>
    </row>
    <row r="19" spans="1:1" x14ac:dyDescent="0.35">
      <c r="A19" s="18">
        <v>1.3333333333333299</v>
      </c>
    </row>
    <row r="20" spans="1:1" x14ac:dyDescent="0.35">
      <c r="A20" s="18">
        <v>0.33333333333333331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Y1:BD1"/>
  <sheetViews>
    <sheetView zoomScaleNormal="100" workbookViewId="0">
      <selection activeCell="B9" sqref="B9"/>
    </sheetView>
  </sheetViews>
  <sheetFormatPr defaultColWidth="8.81640625" defaultRowHeight="14.5" x14ac:dyDescent="0.35"/>
  <cols>
    <col min="1" max="1" width="10" customWidth="1"/>
    <col min="2" max="2" width="29.453125" customWidth="1"/>
    <col min="5" max="5" width="29.81640625" customWidth="1"/>
    <col min="6" max="6" width="52" customWidth="1"/>
    <col min="7" max="7" width="12.36328125" customWidth="1"/>
    <col min="8" max="8" width="9.453125" customWidth="1"/>
    <col min="9" max="9" width="116.36328125" customWidth="1"/>
    <col min="10" max="10" width="75.1796875" customWidth="1"/>
    <col min="11" max="11" width="5" customWidth="1"/>
    <col min="12" max="12" width="9.1796875" customWidth="1"/>
    <col min="13" max="13" width="7.453125" customWidth="1"/>
    <col min="14" max="14" width="12.453125" customWidth="1"/>
    <col min="15" max="15" width="10.81640625" customWidth="1"/>
    <col min="16" max="16" width="12.1796875" customWidth="1"/>
    <col min="17" max="17" width="14.1796875" customWidth="1"/>
    <col min="18" max="18" width="11.81640625" customWidth="1"/>
    <col min="19" max="19" width="11.1796875" customWidth="1"/>
    <col min="20" max="20" width="9.81640625" customWidth="1"/>
    <col min="21" max="21" width="12.81640625" customWidth="1"/>
    <col min="22" max="22" width="18" customWidth="1"/>
    <col min="23" max="23" width="12.453125" customWidth="1"/>
    <col min="24" max="24" width="13.81640625" customWidth="1"/>
    <col min="25" max="25" width="11.453125" customWidth="1"/>
    <col min="26" max="26" width="10.36328125" customWidth="1"/>
    <col min="28" max="28" width="66" customWidth="1"/>
    <col min="50" max="50" width="12.453125" customWidth="1"/>
    <col min="51" max="51" width="12.1796875" customWidth="1"/>
    <col min="76" max="76" width="39.1796875" customWidth="1"/>
  </cols>
  <sheetData>
    <row r="1" spans="51:56" x14ac:dyDescent="0.35">
      <c r="AY1" s="1"/>
      <c r="BC1" s="1"/>
      <c r="BD1" s="1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55" zoomScaleNormal="55" workbookViewId="0"/>
  </sheetViews>
  <sheetFormatPr defaultColWidth="8.81640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Yaryna Shcherban</cp:lastModifiedBy>
  <dcterms:created xsi:type="dcterms:W3CDTF">2021-06-23T04:57:41Z</dcterms:created>
  <dcterms:modified xsi:type="dcterms:W3CDTF">2026-10-09T20:52:25Z</dcterms:modified>
</cp:coreProperties>
</file>